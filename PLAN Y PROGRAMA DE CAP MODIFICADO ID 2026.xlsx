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CONSA\OneDrive\Desktop\LUZ ESTRELLA-ESTADIA-MAYO-AGOSTO2026\SILVESTRE CARGA DE INFORMACION\PLANTILLAS 2026\"/>
    </mc:Choice>
  </mc:AlternateContent>
  <bookViews>
    <workbookView xWindow="0" yWindow="0" windowWidth="20490" windowHeight="7335" firstSheet="1" activeTab="1"/>
  </bookViews>
  <sheets>
    <sheet name="NOMINAS_ACTIVAS" sheetId="2" r:id="rId1"/>
    <sheet name=" PLAN Y PROGRAMA ANUAL 2026" sheetId="1" r:id="rId2"/>
    <sheet name="CURSOS 2026" sheetId="8" r:id="rId3"/>
    <sheet name="CURSOS 2025" sheetId="4" r:id="rId4"/>
    <sheet name="Activos 2023" sheetId="5" r:id="rId5"/>
    <sheet name="Cursos 2023" sheetId="6" r:id="rId6"/>
    <sheet name="BAJA 2024 (TRABAJADORES)" sheetId="7" r:id="rId7"/>
  </sheets>
  <externalReferences>
    <externalReference r:id="rId8"/>
  </externalReferences>
  <definedNames>
    <definedName name="_xlnm._FilterDatabase" localSheetId="1" hidden="1">' PLAN Y PROGRAMA ANUAL 2026'!$A$17:$XFC$787</definedName>
    <definedName name="_xlnm.Print_Area" localSheetId="1">' PLAN Y PROGRAMA ANUAL 2026'!$A$1:$V$834</definedName>
    <definedName name="_xlnm.Print_Titles" localSheetId="1">' PLAN Y PROGRAMA ANUAL 2026'!$1:$18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39" i="1" l="1"/>
  <c r="U645" i="1"/>
  <c r="U234" i="1" l="1"/>
  <c r="U662" i="1" l="1"/>
  <c r="U117" i="1"/>
  <c r="U107" i="1"/>
  <c r="U746" i="1"/>
  <c r="U656" i="1"/>
  <c r="A172" i="1" a="1"/>
  <c r="A172" i="1" s="1"/>
  <c r="U53" i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/>
  <c r="A67" i="1" a="1"/>
  <c r="A67" i="1" s="1"/>
  <c r="A68" i="1" a="1"/>
  <c r="A68" i="1" s="1"/>
  <c r="A69" i="1" a="1"/>
  <c r="A69" i="1" s="1"/>
  <c r="U89" i="1" l="1"/>
  <c r="U555" i="1" l="1"/>
  <c r="A555" i="1" a="1"/>
  <c r="A555" i="1" s="1"/>
  <c r="U671" i="1"/>
  <c r="A671" i="1" a="1"/>
  <c r="A671" i="1" s="1"/>
  <c r="U670" i="1"/>
  <c r="A670" i="1" a="1"/>
  <c r="A670" i="1" s="1"/>
  <c r="U640" i="1" l="1"/>
  <c r="U638" i="1"/>
  <c r="U174" i="1"/>
  <c r="U203" i="1" l="1"/>
  <c r="U69" i="1" l="1"/>
  <c r="U349" i="1" l="1"/>
  <c r="U40" i="1"/>
  <c r="U779" i="1"/>
  <c r="A43" i="1" l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3" i="1" a="1"/>
  <c r="A173" i="1" s="1"/>
  <c r="A174" i="1" a="1"/>
  <c r="A174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20" i="1" a="1"/>
  <c r="A220" i="1" s="1"/>
  <c r="A221" i="1" a="1"/>
  <c r="A221" i="1" s="1"/>
  <c r="A222" i="1" a="1"/>
  <c r="A222" i="1" s="1"/>
  <c r="A223" i="1" a="1"/>
  <c r="A223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 s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 s="1"/>
  <c r="A274" i="1" a="1"/>
  <c r="A274" i="1" s="1"/>
  <c r="A275" i="1" a="1"/>
  <c r="A275" i="1" s="1"/>
  <c r="A276" i="1" a="1"/>
  <c r="A276" i="1" s="1"/>
  <c r="A277" i="1" a="1"/>
  <c r="A277" i="1" s="1"/>
  <c r="A278" i="1" a="1"/>
  <c r="A278" i="1" s="1"/>
  <c r="A279" i="1" a="1"/>
  <c r="A279" i="1" s="1"/>
  <c r="A280" i="1" a="1"/>
  <c r="A280" i="1" s="1"/>
  <c r="A281" i="1" a="1"/>
  <c r="A281" i="1" s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 s="1"/>
  <c r="A306" i="1" a="1"/>
  <c r="A306" i="1" s="1"/>
  <c r="A307" i="1" a="1"/>
  <c r="A307" i="1" s="1"/>
  <c r="A308" i="1" a="1"/>
  <c r="A308" i="1" s="1"/>
  <c r="A309" i="1" a="1"/>
  <c r="A309" i="1" s="1"/>
  <c r="A310" i="1" a="1"/>
  <c r="A310" i="1" s="1"/>
  <c r="A311" i="1" a="1"/>
  <c r="A311" i="1" s="1"/>
  <c r="A312" i="1" a="1"/>
  <c r="A312" i="1" s="1"/>
  <c r="A313" i="1" a="1"/>
  <c r="A313" i="1" s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 s="1"/>
  <c r="A438" i="1" a="1"/>
  <c r="A438" i="1" s="1"/>
  <c r="A439" i="1" a="1"/>
  <c r="A439" i="1" s="1"/>
  <c r="A440" i="1" a="1"/>
  <c r="A440" i="1" s="1"/>
  <c r="A441" i="1" a="1"/>
  <c r="A441" i="1" s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A468" i="1" a="1"/>
  <c r="A468" i="1" s="1"/>
  <c r="A469" i="1" a="1"/>
  <c r="A469" i="1" s="1"/>
  <c r="A470" i="1" a="1"/>
  <c r="A470" i="1" s="1"/>
  <c r="A471" i="1" a="1"/>
  <c r="A471" i="1" s="1"/>
  <c r="A472" i="1" a="1"/>
  <c r="A472" i="1" s="1"/>
  <c r="A473" i="1" a="1"/>
  <c r="A473" i="1" s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 s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6" i="1" a="1"/>
  <c r="A556" i="1" s="1"/>
  <c r="A557" i="1" a="1"/>
  <c r="A557" i="1" s="1"/>
  <c r="A558" i="1" a="1"/>
  <c r="A558" i="1" s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 s="1"/>
  <c r="A565" i="1" a="1"/>
  <c r="A565" i="1" s="1"/>
  <c r="A566" i="1" a="1"/>
  <c r="A566" i="1" s="1"/>
  <c r="A567" i="1" a="1"/>
  <c r="A567" i="1" s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 s="1"/>
  <c r="A577" i="1" a="1"/>
  <c r="A577" i="1" s="1"/>
  <c r="A578" i="1" a="1"/>
  <c r="A578" i="1" s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 s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 s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 s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 s="1"/>
  <c r="A611" i="1" a="1"/>
  <c r="A611" i="1" s="1"/>
  <c r="A612" i="1" a="1"/>
  <c r="A612" i="1" s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 s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 s="1"/>
  <c r="A627" i="1" a="1"/>
  <c r="A627" i="1" s="1"/>
  <c r="A628" i="1" a="1"/>
  <c r="A628" i="1" s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 s="1"/>
  <c r="A636" i="1" a="1"/>
  <c r="A636" i="1" s="1"/>
  <c r="A637" i="1" a="1"/>
  <c r="A637" i="1" s="1"/>
  <c r="A638" i="1" a="1"/>
  <c r="A638" i="1" s="1"/>
  <c r="A640" i="1" a="1"/>
  <c r="A640" i="1" s="1"/>
  <c r="A641" i="1" a="1"/>
  <c r="A641" i="1" s="1"/>
  <c r="A643" i="1" a="1"/>
  <c r="A643" i="1" s="1"/>
  <c r="A644" i="1" a="1"/>
  <c r="A644" i="1" s="1"/>
  <c r="A645" i="1" a="1"/>
  <c r="A645" i="1" s="1"/>
  <c r="A648" i="1" a="1"/>
  <c r="A648" i="1" s="1"/>
  <c r="A649" i="1" a="1"/>
  <c r="A649" i="1" s="1"/>
  <c r="A650" i="1" a="1"/>
  <c r="A650" i="1" s="1"/>
  <c r="A651" i="1" a="1"/>
  <c r="A651" i="1" s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60" i="1" a="1"/>
  <c r="A660" i="1" s="1"/>
  <c r="A661" i="1" a="1"/>
  <c r="A661" i="1" s="1"/>
  <c r="A662" i="1" a="1"/>
  <c r="A662" i="1" s="1"/>
  <c r="A664" i="1" a="1"/>
  <c r="A664" i="1" s="1"/>
  <c r="A665" i="1" a="1"/>
  <c r="A665" i="1" s="1"/>
  <c r="A666" i="1" a="1"/>
  <c r="A666" i="1" s="1"/>
  <c r="A667" i="1" a="1"/>
  <c r="A667" i="1" s="1"/>
  <c r="A668" i="1" a="1"/>
  <c r="A668" i="1" s="1"/>
  <c r="A669" i="1" a="1"/>
  <c r="A669" i="1" s="1"/>
  <c r="A672" i="1" a="1"/>
  <c r="A672" i="1" s="1"/>
  <c r="A673" i="1" a="1"/>
  <c r="A673" i="1" s="1"/>
  <c r="A674" i="1" a="1"/>
  <c r="A674" i="1" s="1"/>
  <c r="A675" i="1" a="1"/>
  <c r="A675" i="1" s="1"/>
  <c r="A676" i="1" a="1"/>
  <c r="A676" i="1" s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 s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 s="1"/>
  <c r="A691" i="1" a="1"/>
  <c r="A691" i="1" s="1"/>
  <c r="A692" i="1" a="1"/>
  <c r="A692" i="1" s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 s="1"/>
  <c r="A699" i="1" a="1"/>
  <c r="A699" i="1" s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 s="1"/>
  <c r="A707" i="1" a="1"/>
  <c r="A707" i="1" s="1"/>
  <c r="A708" i="1" a="1"/>
  <c r="A708" i="1" s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 s="1"/>
  <c r="A716" i="1" a="1"/>
  <c r="A716" i="1" s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 s="1"/>
  <c r="A723" i="1" a="1"/>
  <c r="A723" i="1" s="1"/>
  <c r="A724" i="1" a="1"/>
  <c r="A724" i="1" s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 s="1"/>
  <c r="A731" i="1" a="1"/>
  <c r="A731" i="1" s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 s="1"/>
  <c r="A739" i="1" a="1"/>
  <c r="A739" i="1" s="1"/>
  <c r="A740" i="1" a="1"/>
  <c r="A740" i="1" s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 s="1"/>
  <c r="A748" i="1" a="1"/>
  <c r="A748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 s="1"/>
  <c r="A755" i="1" a="1"/>
  <c r="A755" i="1" s="1"/>
  <c r="A756" i="1" a="1"/>
  <c r="A756" i="1" s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 s="1"/>
  <c r="A763" i="1" a="1"/>
  <c r="A763" i="1" s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 s="1"/>
  <c r="A771" i="1" a="1"/>
  <c r="A771" i="1" s="1"/>
  <c r="A772" i="1" a="1"/>
  <c r="A772" i="1" s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 s="1"/>
  <c r="A780" i="1" a="1"/>
  <c r="A780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2" i="1" a="1"/>
  <c r="A42" i="1" s="1"/>
  <c r="U674" i="1" l="1"/>
  <c r="U212" i="1" l="1"/>
  <c r="S95" i="7" l="1"/>
  <c r="Q95" i="7"/>
  <c r="M95" i="7"/>
  <c r="S94" i="7"/>
  <c r="Q94" i="7"/>
  <c r="M94" i="7"/>
  <c r="S93" i="7"/>
  <c r="Q93" i="7"/>
  <c r="M93" i="7"/>
  <c r="S92" i="7"/>
  <c r="Q92" i="7"/>
  <c r="M92" i="7"/>
  <c r="S91" i="7"/>
  <c r="Q91" i="7"/>
  <c r="M91" i="7"/>
  <c r="S90" i="7"/>
  <c r="Q90" i="7"/>
  <c r="M90" i="7"/>
  <c r="S89" i="7"/>
  <c r="Q89" i="7"/>
  <c r="M89" i="7"/>
  <c r="S88" i="7"/>
  <c r="Q88" i="7"/>
  <c r="M88" i="7"/>
  <c r="S87" i="7"/>
  <c r="Q87" i="7"/>
  <c r="M87" i="7"/>
  <c r="S86" i="7"/>
  <c r="Q86" i="7"/>
  <c r="M86" i="7"/>
  <c r="S85" i="7"/>
  <c r="Q85" i="7"/>
  <c r="M85" i="7"/>
  <c r="S84" i="7"/>
  <c r="Q84" i="7"/>
  <c r="M84" i="7"/>
  <c r="S83" i="7"/>
  <c r="Q83" i="7"/>
  <c r="M83" i="7"/>
  <c r="S82" i="7"/>
  <c r="Q82" i="7"/>
  <c r="M82" i="7"/>
  <c r="S81" i="7"/>
  <c r="Q81" i="7"/>
  <c r="M81" i="7"/>
  <c r="S80" i="7"/>
  <c r="Q80" i="7"/>
  <c r="M80" i="7"/>
  <c r="S79" i="7"/>
  <c r="Q79" i="7"/>
  <c r="M79" i="7"/>
  <c r="S78" i="7"/>
  <c r="Q78" i="7"/>
  <c r="M78" i="7"/>
  <c r="S77" i="7"/>
  <c r="Q77" i="7"/>
  <c r="M77" i="7"/>
  <c r="S76" i="7"/>
  <c r="Q76" i="7"/>
  <c r="M76" i="7"/>
  <c r="S75" i="7"/>
  <c r="Q75" i="7"/>
  <c r="M75" i="7"/>
  <c r="S74" i="7"/>
  <c r="Q74" i="7"/>
  <c r="M74" i="7"/>
  <c r="S73" i="7"/>
  <c r="Q73" i="7"/>
  <c r="M73" i="7"/>
  <c r="S72" i="7"/>
  <c r="Q72" i="7"/>
  <c r="M72" i="7"/>
  <c r="S71" i="7"/>
  <c r="Q71" i="7"/>
  <c r="M71" i="7"/>
  <c r="S70" i="7"/>
  <c r="Q70" i="7"/>
  <c r="M70" i="7"/>
  <c r="S69" i="7"/>
  <c r="Q69" i="7"/>
  <c r="M69" i="7"/>
  <c r="S68" i="7"/>
  <c r="Q68" i="7"/>
  <c r="M68" i="7"/>
  <c r="S67" i="7"/>
  <c r="Q67" i="7"/>
  <c r="M67" i="7"/>
  <c r="S66" i="7"/>
  <c r="Q66" i="7"/>
  <c r="M66" i="7"/>
  <c r="S65" i="7"/>
  <c r="Q65" i="7"/>
  <c r="M65" i="7"/>
  <c r="S64" i="7"/>
  <c r="Q64" i="7"/>
  <c r="M64" i="7"/>
  <c r="S63" i="7"/>
  <c r="Q63" i="7"/>
  <c r="M63" i="7"/>
  <c r="S62" i="7"/>
  <c r="Q62" i="7"/>
  <c r="M62" i="7"/>
  <c r="S61" i="7"/>
  <c r="Q61" i="7"/>
  <c r="M61" i="7"/>
  <c r="S60" i="7"/>
  <c r="Q60" i="7"/>
  <c r="M60" i="7"/>
  <c r="S59" i="7"/>
  <c r="Q59" i="7"/>
  <c r="M59" i="7"/>
  <c r="S58" i="7"/>
  <c r="Q58" i="7"/>
  <c r="M58" i="7"/>
  <c r="S57" i="7"/>
  <c r="Q57" i="7"/>
  <c r="M57" i="7"/>
  <c r="S56" i="7"/>
  <c r="Q56" i="7"/>
  <c r="M56" i="7"/>
  <c r="S55" i="7"/>
  <c r="Q55" i="7"/>
  <c r="M55" i="7"/>
  <c r="S54" i="7"/>
  <c r="Q54" i="7"/>
  <c r="M54" i="7"/>
  <c r="S53" i="7"/>
  <c r="Q53" i="7"/>
  <c r="M53" i="7"/>
  <c r="S52" i="7"/>
  <c r="Q52" i="7"/>
  <c r="M52" i="7"/>
  <c r="S51" i="7"/>
  <c r="Q51" i="7"/>
  <c r="M51" i="7"/>
  <c r="S50" i="7"/>
  <c r="Q50" i="7"/>
  <c r="M50" i="7"/>
  <c r="S49" i="7"/>
  <c r="Q49" i="7"/>
  <c r="M49" i="7"/>
  <c r="S48" i="7"/>
  <c r="Q48" i="7"/>
  <c r="M48" i="7"/>
  <c r="S47" i="7"/>
  <c r="Q47" i="7"/>
  <c r="M47" i="7"/>
  <c r="S46" i="7"/>
  <c r="Q46" i="7"/>
  <c r="M46" i="7"/>
  <c r="S45" i="7"/>
  <c r="Q45" i="7"/>
  <c r="M45" i="7"/>
  <c r="S44" i="7"/>
  <c r="Q44" i="7"/>
  <c r="M44" i="7"/>
  <c r="S43" i="7"/>
  <c r="Q43" i="7"/>
  <c r="M43" i="7"/>
  <c r="S42" i="7"/>
  <c r="Q42" i="7"/>
  <c r="M42" i="7"/>
  <c r="S41" i="7"/>
  <c r="Q41" i="7"/>
  <c r="M41" i="7"/>
  <c r="S40" i="7"/>
  <c r="Q40" i="7"/>
  <c r="M40" i="7"/>
  <c r="S39" i="7"/>
  <c r="Q39" i="7"/>
  <c r="M39" i="7"/>
  <c r="S38" i="7"/>
  <c r="Q38" i="7"/>
  <c r="M38" i="7"/>
  <c r="S37" i="7"/>
  <c r="Q37" i="7"/>
  <c r="M37" i="7"/>
  <c r="S36" i="7"/>
  <c r="Q36" i="7"/>
  <c r="M36" i="7"/>
  <c r="S35" i="7"/>
  <c r="Q35" i="7"/>
  <c r="M35" i="7"/>
  <c r="S34" i="7"/>
  <c r="Q34" i="7"/>
  <c r="M34" i="7"/>
  <c r="S33" i="7"/>
  <c r="Q33" i="7"/>
  <c r="M33" i="7"/>
  <c r="S32" i="7"/>
  <c r="Q32" i="7"/>
  <c r="M32" i="7"/>
  <c r="S31" i="7"/>
  <c r="Q31" i="7"/>
  <c r="M31" i="7"/>
  <c r="S30" i="7"/>
  <c r="Q30" i="7"/>
  <c r="M30" i="7"/>
  <c r="S29" i="7"/>
  <c r="Q29" i="7"/>
  <c r="M29" i="7"/>
  <c r="S28" i="7"/>
  <c r="Q28" i="7"/>
  <c r="M28" i="7"/>
  <c r="S27" i="7"/>
  <c r="Q27" i="7"/>
  <c r="M27" i="7"/>
  <c r="S26" i="7"/>
  <c r="Q26" i="7"/>
  <c r="M26" i="7"/>
  <c r="S25" i="7"/>
  <c r="Q25" i="7"/>
  <c r="M25" i="7"/>
  <c r="S24" i="7"/>
  <c r="Q24" i="7"/>
  <c r="M24" i="7"/>
  <c r="S23" i="7"/>
  <c r="Q23" i="7"/>
  <c r="M23" i="7"/>
  <c r="S22" i="7"/>
  <c r="Q22" i="7"/>
  <c r="M22" i="7"/>
  <c r="S21" i="7"/>
  <c r="Q21" i="7"/>
  <c r="M21" i="7"/>
  <c r="S20" i="7"/>
  <c r="Q20" i="7"/>
  <c r="M20" i="7"/>
  <c r="S19" i="7"/>
  <c r="Q19" i="7"/>
  <c r="M19" i="7"/>
  <c r="S18" i="7"/>
  <c r="Q18" i="7"/>
  <c r="M18" i="7"/>
  <c r="S17" i="7"/>
  <c r="Q17" i="7"/>
  <c r="M17" i="7"/>
  <c r="S16" i="7"/>
  <c r="Q16" i="7"/>
  <c r="M16" i="7"/>
  <c r="S15" i="7"/>
  <c r="Q15" i="7"/>
  <c r="M15" i="7"/>
  <c r="S14" i="7"/>
  <c r="Q14" i="7"/>
  <c r="M14" i="7"/>
  <c r="S13" i="7"/>
  <c r="Q13" i="7"/>
  <c r="M13" i="7"/>
  <c r="S12" i="7"/>
  <c r="Q12" i="7"/>
  <c r="M12" i="7"/>
  <c r="S11" i="7"/>
  <c r="Q11" i="7"/>
  <c r="M11" i="7"/>
  <c r="S10" i="7"/>
  <c r="Q10" i="7"/>
  <c r="M10" i="7"/>
  <c r="S9" i="7"/>
  <c r="Q9" i="7"/>
  <c r="M9" i="7"/>
  <c r="S8" i="7"/>
  <c r="Q8" i="7"/>
  <c r="M8" i="7"/>
  <c r="S7" i="7"/>
  <c r="Q7" i="7"/>
  <c r="M7" i="7"/>
  <c r="S6" i="7"/>
  <c r="Q6" i="7"/>
  <c r="M6" i="7"/>
  <c r="S5" i="7"/>
  <c r="Q5" i="7"/>
  <c r="M5" i="7"/>
  <c r="S4" i="7"/>
  <c r="Q4" i="7"/>
  <c r="M4" i="7"/>
  <c r="S3" i="7"/>
  <c r="Q3" i="7"/>
  <c r="M3" i="7"/>
  <c r="S2" i="7"/>
  <c r="Q2" i="7"/>
  <c r="M2" i="7"/>
  <c r="S1" i="7"/>
  <c r="Q1" i="7"/>
  <c r="M1" i="7"/>
  <c r="U338" i="1" l="1"/>
  <c r="U22" i="1"/>
  <c r="U42" i="1" l="1"/>
  <c r="U28" i="1"/>
  <c r="U703" i="1" l="1"/>
  <c r="U652" i="1"/>
  <c r="U58" i="1"/>
  <c r="U345" i="1"/>
  <c r="U357" i="1"/>
  <c r="U691" i="1"/>
  <c r="U363" i="1"/>
  <c r="U546" i="1"/>
  <c r="U550" i="1"/>
  <c r="U709" i="1" l="1"/>
  <c r="U86" i="1"/>
  <c r="U712" i="1" l="1"/>
  <c r="S790" i="1" l="1"/>
  <c r="S789" i="1"/>
  <c r="U787" i="1"/>
  <c r="T787" i="1"/>
  <c r="U786" i="1"/>
  <c r="U785" i="1"/>
  <c r="T785" i="1"/>
  <c r="U784" i="1"/>
  <c r="T784" i="1"/>
  <c r="U783" i="1"/>
  <c r="U782" i="1"/>
  <c r="T778" i="1"/>
  <c r="U777" i="1"/>
  <c r="T777" i="1"/>
  <c r="T776" i="1"/>
  <c r="U775" i="1"/>
  <c r="T775" i="1"/>
  <c r="U774" i="1"/>
  <c r="T774" i="1"/>
  <c r="U773" i="1"/>
  <c r="T773" i="1"/>
  <c r="U772" i="1"/>
  <c r="T772" i="1"/>
  <c r="U771" i="1"/>
  <c r="T771" i="1"/>
  <c r="U770" i="1"/>
  <c r="T770" i="1"/>
  <c r="U769" i="1"/>
  <c r="T769" i="1"/>
  <c r="U768" i="1"/>
  <c r="T768" i="1"/>
  <c r="U767" i="1"/>
  <c r="T767" i="1"/>
  <c r="U766" i="1"/>
  <c r="T766" i="1"/>
  <c r="U765" i="1"/>
  <c r="T765" i="1"/>
  <c r="U764" i="1"/>
  <c r="T764" i="1"/>
  <c r="U763" i="1"/>
  <c r="T763" i="1"/>
  <c r="U762" i="1"/>
  <c r="T762" i="1"/>
  <c r="U761" i="1"/>
  <c r="T761" i="1"/>
  <c r="U760" i="1"/>
  <c r="T760" i="1"/>
  <c r="U759" i="1"/>
  <c r="T759" i="1"/>
  <c r="U758" i="1"/>
  <c r="U757" i="1"/>
  <c r="T757" i="1"/>
  <c r="U756" i="1"/>
  <c r="T756" i="1"/>
  <c r="U755" i="1"/>
  <c r="U754" i="1"/>
  <c r="T754" i="1"/>
  <c r="U753" i="1"/>
  <c r="T753" i="1"/>
  <c r="U752" i="1"/>
  <c r="T752" i="1"/>
  <c r="U751" i="1"/>
  <c r="T751" i="1"/>
  <c r="U750" i="1"/>
  <c r="T750" i="1"/>
  <c r="U745" i="1"/>
  <c r="T745" i="1"/>
  <c r="U744" i="1"/>
  <c r="T744" i="1"/>
  <c r="T743" i="1"/>
  <c r="U742" i="1"/>
  <c r="T742" i="1"/>
  <c r="U741" i="1"/>
  <c r="T741" i="1"/>
  <c r="U740" i="1"/>
  <c r="T740" i="1"/>
  <c r="U739" i="1"/>
  <c r="T739" i="1"/>
  <c r="U738" i="1"/>
  <c r="T738" i="1"/>
  <c r="U737" i="1"/>
  <c r="T737" i="1"/>
  <c r="U736" i="1"/>
  <c r="T736" i="1"/>
  <c r="U735" i="1"/>
  <c r="T735" i="1"/>
  <c r="U734" i="1"/>
  <c r="U733" i="1"/>
  <c r="U732" i="1"/>
  <c r="U731" i="1"/>
  <c r="U730" i="1"/>
  <c r="U729" i="1"/>
  <c r="T729" i="1"/>
  <c r="U728" i="1"/>
  <c r="T728" i="1"/>
  <c r="U727" i="1"/>
  <c r="U726" i="1"/>
  <c r="T726" i="1"/>
  <c r="U725" i="1"/>
  <c r="U724" i="1"/>
  <c r="U723" i="1"/>
  <c r="U722" i="1"/>
  <c r="U721" i="1"/>
  <c r="T721" i="1"/>
  <c r="U720" i="1"/>
  <c r="T720" i="1"/>
  <c r="U719" i="1"/>
  <c r="T719" i="1"/>
  <c r="U718" i="1"/>
  <c r="T718" i="1"/>
  <c r="U717" i="1"/>
  <c r="T717" i="1"/>
  <c r="U716" i="1"/>
  <c r="T716" i="1"/>
  <c r="U715" i="1"/>
  <c r="T715" i="1"/>
  <c r="U714" i="1"/>
  <c r="T714" i="1"/>
  <c r="U713" i="1"/>
  <c r="U708" i="1"/>
  <c r="T708" i="1"/>
  <c r="U707" i="1"/>
  <c r="T707" i="1"/>
  <c r="U706" i="1"/>
  <c r="T706" i="1"/>
  <c r="U701" i="1"/>
  <c r="T701" i="1"/>
  <c r="U700" i="1"/>
  <c r="T700" i="1"/>
  <c r="U699" i="1"/>
  <c r="T699" i="1"/>
  <c r="U698" i="1"/>
  <c r="T698" i="1"/>
  <c r="U697" i="1"/>
  <c r="U696" i="1"/>
  <c r="T696" i="1"/>
  <c r="U695" i="1"/>
  <c r="T695" i="1"/>
  <c r="U694" i="1"/>
  <c r="T694" i="1"/>
  <c r="U693" i="1"/>
  <c r="T693" i="1"/>
  <c r="U690" i="1"/>
  <c r="T690" i="1"/>
  <c r="U689" i="1"/>
  <c r="T689" i="1"/>
  <c r="U688" i="1"/>
  <c r="T688" i="1"/>
  <c r="U687" i="1"/>
  <c r="T687" i="1"/>
  <c r="U686" i="1"/>
  <c r="T686" i="1"/>
  <c r="U685" i="1"/>
  <c r="T685" i="1"/>
  <c r="U684" i="1"/>
  <c r="T684" i="1"/>
  <c r="U683" i="1"/>
  <c r="T683" i="1"/>
  <c r="T682" i="1"/>
  <c r="U681" i="1"/>
  <c r="T681" i="1"/>
  <c r="U680" i="1"/>
  <c r="T680" i="1"/>
  <c r="U679" i="1"/>
  <c r="T679" i="1"/>
  <c r="U678" i="1"/>
  <c r="U673" i="1"/>
  <c r="T673" i="1"/>
  <c r="U672" i="1"/>
  <c r="T672" i="1"/>
  <c r="U669" i="1"/>
  <c r="T669" i="1"/>
  <c r="U668" i="1"/>
  <c r="T668" i="1"/>
  <c r="U667" i="1"/>
  <c r="T667" i="1"/>
  <c r="U666" i="1"/>
  <c r="U665" i="1"/>
  <c r="T665" i="1"/>
  <c r="U664" i="1"/>
  <c r="T664" i="1"/>
  <c r="U661" i="1"/>
  <c r="T661" i="1"/>
  <c r="U660" i="1"/>
  <c r="T660" i="1"/>
  <c r="U655" i="1"/>
  <c r="T655" i="1"/>
  <c r="U651" i="1"/>
  <c r="T651" i="1"/>
  <c r="U650" i="1"/>
  <c r="U649" i="1"/>
  <c r="U648" i="1"/>
  <c r="T648" i="1"/>
  <c r="U644" i="1"/>
  <c r="T644" i="1"/>
  <c r="U643" i="1"/>
  <c r="U637" i="1"/>
  <c r="T637" i="1"/>
  <c r="T636" i="1"/>
  <c r="U635" i="1"/>
  <c r="T635" i="1"/>
  <c r="U634" i="1"/>
  <c r="U633" i="1"/>
  <c r="T633" i="1"/>
  <c r="U632" i="1"/>
  <c r="T632" i="1"/>
  <c r="T631" i="1"/>
  <c r="U630" i="1"/>
  <c r="T630" i="1"/>
  <c r="U629" i="1"/>
  <c r="T629" i="1"/>
  <c r="U628" i="1"/>
  <c r="T628" i="1"/>
  <c r="U627" i="1"/>
  <c r="T627" i="1"/>
  <c r="U626" i="1"/>
  <c r="T626" i="1"/>
  <c r="U625" i="1"/>
  <c r="T625" i="1"/>
  <c r="U624" i="1"/>
  <c r="T624" i="1"/>
  <c r="U623" i="1"/>
  <c r="T623" i="1"/>
  <c r="U622" i="1"/>
  <c r="T622" i="1"/>
  <c r="U621" i="1"/>
  <c r="U620" i="1"/>
  <c r="T620" i="1"/>
  <c r="U619" i="1"/>
  <c r="T619" i="1"/>
  <c r="U618" i="1"/>
  <c r="T618" i="1"/>
  <c r="U617" i="1"/>
  <c r="T617" i="1"/>
  <c r="U616" i="1"/>
  <c r="T616" i="1"/>
  <c r="U615" i="1"/>
  <c r="T615" i="1"/>
  <c r="U614" i="1"/>
  <c r="T614" i="1"/>
  <c r="U613" i="1"/>
  <c r="T613" i="1"/>
  <c r="U612" i="1"/>
  <c r="T612" i="1"/>
  <c r="U611" i="1"/>
  <c r="T611" i="1"/>
  <c r="U610" i="1"/>
  <c r="T610" i="1"/>
  <c r="U609" i="1"/>
  <c r="T609" i="1"/>
  <c r="U608" i="1"/>
  <c r="T608" i="1"/>
  <c r="U607" i="1"/>
  <c r="T607" i="1"/>
  <c r="U606" i="1"/>
  <c r="T606" i="1"/>
  <c r="U605" i="1"/>
  <c r="T605" i="1"/>
  <c r="U604" i="1"/>
  <c r="T604" i="1"/>
  <c r="U603" i="1"/>
  <c r="T603" i="1"/>
  <c r="U602" i="1"/>
  <c r="T602" i="1"/>
  <c r="U601" i="1"/>
  <c r="T601" i="1"/>
  <c r="U600" i="1"/>
  <c r="T600" i="1"/>
  <c r="U599" i="1"/>
  <c r="T599" i="1"/>
  <c r="U598" i="1"/>
  <c r="T598" i="1"/>
  <c r="U597" i="1"/>
  <c r="T597" i="1"/>
  <c r="U596" i="1"/>
  <c r="U595" i="1"/>
  <c r="T595" i="1"/>
  <c r="U594" i="1"/>
  <c r="U593" i="1"/>
  <c r="T593" i="1"/>
  <c r="U592" i="1"/>
  <c r="T592" i="1"/>
  <c r="U591" i="1"/>
  <c r="T591" i="1"/>
  <c r="U590" i="1"/>
  <c r="T590" i="1"/>
  <c r="U589" i="1"/>
  <c r="T589" i="1"/>
  <c r="U588" i="1"/>
  <c r="U587" i="1"/>
  <c r="T587" i="1"/>
  <c r="U586" i="1"/>
  <c r="U585" i="1"/>
  <c r="T585" i="1"/>
  <c r="U584" i="1"/>
  <c r="T584" i="1"/>
  <c r="U583" i="1"/>
  <c r="T583" i="1"/>
  <c r="U582" i="1"/>
  <c r="T582" i="1"/>
  <c r="U581" i="1"/>
  <c r="T581" i="1"/>
  <c r="U580" i="1"/>
  <c r="T580" i="1"/>
  <c r="U579" i="1"/>
  <c r="T579" i="1"/>
  <c r="U578" i="1"/>
  <c r="T578" i="1"/>
  <c r="U577" i="1"/>
  <c r="T577" i="1"/>
  <c r="U576" i="1"/>
  <c r="T576" i="1"/>
  <c r="U575" i="1"/>
  <c r="T575" i="1"/>
  <c r="U574" i="1"/>
  <c r="T574" i="1"/>
  <c r="U573" i="1"/>
  <c r="T573" i="1"/>
  <c r="U572" i="1"/>
  <c r="T572" i="1"/>
  <c r="U571" i="1"/>
  <c r="T571" i="1"/>
  <c r="U570" i="1"/>
  <c r="T570" i="1"/>
  <c r="U569" i="1"/>
  <c r="T569" i="1"/>
  <c r="U568" i="1"/>
  <c r="T568" i="1"/>
  <c r="U567" i="1"/>
  <c r="T567" i="1"/>
  <c r="U566" i="1"/>
  <c r="T566" i="1"/>
  <c r="U565" i="1"/>
  <c r="T565" i="1"/>
  <c r="U564" i="1"/>
  <c r="T564" i="1"/>
  <c r="U563" i="1"/>
  <c r="T563" i="1"/>
  <c r="U562" i="1"/>
  <c r="T562" i="1"/>
  <c r="U561" i="1"/>
  <c r="T561" i="1"/>
  <c r="U560" i="1"/>
  <c r="T560" i="1"/>
  <c r="U559" i="1"/>
  <c r="T559" i="1"/>
  <c r="U558" i="1"/>
  <c r="T558" i="1"/>
  <c r="U557" i="1"/>
  <c r="T557" i="1"/>
  <c r="U556" i="1"/>
  <c r="T556" i="1"/>
  <c r="U554" i="1"/>
  <c r="T554" i="1"/>
  <c r="U553" i="1"/>
  <c r="U549" i="1"/>
  <c r="U545" i="1"/>
  <c r="T545" i="1"/>
  <c r="U544" i="1"/>
  <c r="T544" i="1"/>
  <c r="T543" i="1"/>
  <c r="U542" i="1"/>
  <c r="T542" i="1"/>
  <c r="U541" i="1"/>
  <c r="T541" i="1"/>
  <c r="U540" i="1"/>
  <c r="T540" i="1"/>
  <c r="U539" i="1"/>
  <c r="T539" i="1"/>
  <c r="U538" i="1"/>
  <c r="T538" i="1"/>
  <c r="U537" i="1"/>
  <c r="T537" i="1"/>
  <c r="U536" i="1"/>
  <c r="T536" i="1"/>
  <c r="U535" i="1"/>
  <c r="T535" i="1"/>
  <c r="U534" i="1"/>
  <c r="T534" i="1"/>
  <c r="U533" i="1"/>
  <c r="T533" i="1"/>
  <c r="U532" i="1"/>
  <c r="T532" i="1"/>
  <c r="U531" i="1"/>
  <c r="T531" i="1"/>
  <c r="U530" i="1"/>
  <c r="T530" i="1"/>
  <c r="U529" i="1"/>
  <c r="T529" i="1"/>
  <c r="U528" i="1"/>
  <c r="T528" i="1"/>
  <c r="U527" i="1"/>
  <c r="T527" i="1"/>
  <c r="U526" i="1"/>
  <c r="T526" i="1"/>
  <c r="U525" i="1"/>
  <c r="T525" i="1"/>
  <c r="U524" i="1"/>
  <c r="T524" i="1"/>
  <c r="U523" i="1"/>
  <c r="T523" i="1"/>
  <c r="U522" i="1"/>
  <c r="T522" i="1"/>
  <c r="U521" i="1"/>
  <c r="T521" i="1"/>
  <c r="U520" i="1"/>
  <c r="T520" i="1"/>
  <c r="U519" i="1"/>
  <c r="T519" i="1"/>
  <c r="U518" i="1"/>
  <c r="T518" i="1"/>
  <c r="U517" i="1"/>
  <c r="T517" i="1"/>
  <c r="U516" i="1"/>
  <c r="T516" i="1"/>
  <c r="U515" i="1"/>
  <c r="T515" i="1"/>
  <c r="U514" i="1"/>
  <c r="T514" i="1"/>
  <c r="U513" i="1"/>
  <c r="T513" i="1"/>
  <c r="U512" i="1"/>
  <c r="T512" i="1"/>
  <c r="U511" i="1"/>
  <c r="T511" i="1"/>
  <c r="U510" i="1"/>
  <c r="T510" i="1"/>
  <c r="U509" i="1"/>
  <c r="T509" i="1"/>
  <c r="U508" i="1"/>
  <c r="T508" i="1"/>
  <c r="U507" i="1"/>
  <c r="T507" i="1"/>
  <c r="U506" i="1"/>
  <c r="T506" i="1"/>
  <c r="U505" i="1"/>
  <c r="T505" i="1"/>
  <c r="U504" i="1"/>
  <c r="T504" i="1"/>
  <c r="U503" i="1"/>
  <c r="T503" i="1"/>
  <c r="U502" i="1"/>
  <c r="T502" i="1"/>
  <c r="U501" i="1"/>
  <c r="T501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U416" i="1"/>
  <c r="T416" i="1"/>
  <c r="U415" i="1"/>
  <c r="T415" i="1"/>
  <c r="U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2" i="1"/>
  <c r="T362" i="1"/>
  <c r="U361" i="1"/>
  <c r="T361" i="1"/>
  <c r="U360" i="1"/>
  <c r="T360" i="1"/>
  <c r="U356" i="1"/>
  <c r="T356" i="1"/>
  <c r="U355" i="1"/>
  <c r="T355" i="1"/>
  <c r="U354" i="1"/>
  <c r="T354" i="1"/>
  <c r="U353" i="1"/>
  <c r="T353" i="1"/>
  <c r="U348" i="1"/>
  <c r="T348" i="1"/>
  <c r="U347" i="1"/>
  <c r="T347" i="1"/>
  <c r="T344" i="1"/>
  <c r="U342" i="1"/>
  <c r="T342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U280" i="1"/>
  <c r="T280" i="1"/>
  <c r="U279" i="1"/>
  <c r="T279" i="1"/>
  <c r="U278" i="1"/>
  <c r="T278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U245" i="1"/>
  <c r="T244" i="1"/>
  <c r="U243" i="1"/>
  <c r="T243" i="1"/>
  <c r="U242" i="1"/>
  <c r="T242" i="1"/>
  <c r="U241" i="1"/>
  <c r="T241" i="1"/>
  <c r="U240" i="1"/>
  <c r="T240" i="1"/>
  <c r="U239" i="1"/>
  <c r="U238" i="1"/>
  <c r="T238" i="1"/>
  <c r="U237" i="1"/>
  <c r="T237" i="1"/>
  <c r="U236" i="1"/>
  <c r="U233" i="1"/>
  <c r="T233" i="1"/>
  <c r="U232" i="1"/>
  <c r="T232" i="1"/>
  <c r="U231" i="1"/>
  <c r="T231" i="1"/>
  <c r="U230" i="1"/>
  <c r="T230" i="1"/>
  <c r="U229" i="1"/>
  <c r="U228" i="1"/>
  <c r="T228" i="1"/>
  <c r="U227" i="1"/>
  <c r="U226" i="1"/>
  <c r="T226" i="1"/>
  <c r="U225" i="1"/>
  <c r="T225" i="1"/>
  <c r="U223" i="1"/>
  <c r="U222" i="1"/>
  <c r="U221" i="1"/>
  <c r="U220" i="1"/>
  <c r="U218" i="1"/>
  <c r="U217" i="1"/>
  <c r="U216" i="1"/>
  <c r="T216" i="1"/>
  <c r="U215" i="1"/>
  <c r="T215" i="1"/>
  <c r="U214" i="1"/>
  <c r="T214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U180" i="1"/>
  <c r="T180" i="1"/>
  <c r="U179" i="1"/>
  <c r="T179" i="1"/>
  <c r="U178" i="1"/>
  <c r="U177" i="1"/>
  <c r="T177" i="1"/>
  <c r="U176" i="1"/>
  <c r="U173" i="1"/>
  <c r="T173" i="1"/>
  <c r="U172" i="1"/>
  <c r="T172" i="1"/>
  <c r="U171" i="1"/>
  <c r="U170" i="1"/>
  <c r="T170" i="1"/>
  <c r="U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U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U143" i="1"/>
  <c r="U142" i="1"/>
  <c r="U141" i="1"/>
  <c r="T141" i="1"/>
  <c r="U140" i="1"/>
  <c r="T140" i="1"/>
  <c r="U139" i="1"/>
  <c r="T139" i="1"/>
  <c r="U138" i="1"/>
  <c r="U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U123" i="1"/>
  <c r="T123" i="1"/>
  <c r="U122" i="1"/>
  <c r="T122" i="1"/>
  <c r="U121" i="1"/>
  <c r="T121" i="1"/>
  <c r="U120" i="1"/>
  <c r="T120" i="1"/>
  <c r="U119" i="1"/>
  <c r="T119" i="1"/>
  <c r="T117" i="1"/>
  <c r="U116" i="1"/>
  <c r="T116" i="1"/>
  <c r="U115" i="1"/>
  <c r="T115" i="1"/>
  <c r="U114" i="1"/>
  <c r="U113" i="1"/>
  <c r="T113" i="1"/>
  <c r="U112" i="1"/>
  <c r="U111" i="1"/>
  <c r="T111" i="1"/>
  <c r="T110" i="1"/>
  <c r="U109" i="1"/>
  <c r="T109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2" i="1"/>
  <c r="T92" i="1"/>
  <c r="U87" i="1"/>
  <c r="T87" i="1"/>
  <c r="U84" i="1"/>
  <c r="T84" i="1"/>
  <c r="U83" i="1"/>
  <c r="T83" i="1"/>
  <c r="U82" i="1"/>
  <c r="T82" i="1"/>
  <c r="U81" i="1"/>
  <c r="T81" i="1"/>
  <c r="U80" i="1"/>
  <c r="T80" i="1"/>
  <c r="U79" i="1"/>
  <c r="U78" i="1"/>
  <c r="U77" i="1"/>
  <c r="U76" i="1"/>
  <c r="U75" i="1"/>
  <c r="U74" i="1"/>
  <c r="U73" i="1"/>
  <c r="U71" i="1"/>
  <c r="U67" i="1"/>
  <c r="U66" i="1"/>
  <c r="U65" i="1"/>
  <c r="T65" i="1"/>
  <c r="U64" i="1"/>
  <c r="U63" i="1"/>
  <c r="U62" i="1"/>
  <c r="U61" i="1"/>
  <c r="U57" i="1"/>
  <c r="T57" i="1"/>
  <c r="U55" i="1"/>
  <c r="U52" i="1"/>
  <c r="U51" i="1"/>
  <c r="U50" i="1"/>
  <c r="U49" i="1"/>
  <c r="U48" i="1"/>
  <c r="T48" i="1"/>
  <c r="U47" i="1"/>
  <c r="T47" i="1"/>
  <c r="U46" i="1"/>
  <c r="U45" i="1"/>
  <c r="U44" i="1"/>
  <c r="U39" i="1"/>
  <c r="U38" i="1"/>
  <c r="T38" i="1"/>
  <c r="U37" i="1"/>
  <c r="T37" i="1"/>
  <c r="U36" i="1"/>
  <c r="T36" i="1"/>
  <c r="U35" i="1"/>
  <c r="U34" i="1"/>
  <c r="U33" i="1"/>
  <c r="T33" i="1"/>
  <c r="U32" i="1"/>
  <c r="T32" i="1"/>
  <c r="U31" i="1"/>
  <c r="T31" i="1"/>
  <c r="U27" i="1"/>
  <c r="U21" i="1"/>
  <c r="T21" i="1"/>
  <c r="A21" i="1" a="1"/>
  <c r="A21" i="1" s="1"/>
  <c r="U20" i="1"/>
  <c r="T20" i="1"/>
  <c r="A20" i="1" a="1"/>
  <c r="A20" i="1" s="1"/>
  <c r="U19" i="1"/>
  <c r="S791" i="1" l="1"/>
</calcChain>
</file>

<file path=xl/sharedStrings.xml><?xml version="1.0" encoding="utf-8"?>
<sst xmlns="http://schemas.openxmlformats.org/spreadsheetml/2006/main" count="6639" uniqueCount="2330">
  <si>
    <t>Gerencia Metropolitana Norte</t>
  </si>
  <si>
    <t>Subgerencia de Administración y Finanzas</t>
  </si>
  <si>
    <t>Departamento de Relaciones Industriales</t>
  </si>
  <si>
    <t>Capacitación, Adiestramiento y Productividad</t>
  </si>
  <si>
    <t>COMISION MIXTA DE CAPACITACIÓN, ADIESTRAMIENTO Y PRODUCTIVIDAD</t>
  </si>
  <si>
    <t>PERIODO: 01 DE ENERO AL 31 DE DICIEMBRE DEL 2026</t>
  </si>
  <si>
    <t>PLAN Y PROGRAMA  DE CAPACITACIÓN, ADIESTRAMIENTO Y PRODUCTIVIDAD / FORMATO DC-2</t>
  </si>
  <si>
    <t>NO</t>
  </si>
  <si>
    <t xml:space="preserve">CENTRO DE COSTOS </t>
  </si>
  <si>
    <t>PUESTO</t>
  </si>
  <si>
    <t xml:space="preserve">NÓMINA </t>
  </si>
  <si>
    <t xml:space="preserve">NOMBRE DEL TRABAJADOR </t>
  </si>
  <si>
    <t>ÁREA</t>
  </si>
  <si>
    <t>CURP</t>
  </si>
  <si>
    <t>INDUCCIÓN</t>
  </si>
  <si>
    <t>Columna1</t>
  </si>
  <si>
    <t>Columna2</t>
  </si>
  <si>
    <t>CAPACITACIÒN</t>
  </si>
  <si>
    <t>Columna3</t>
  </si>
  <si>
    <t>Columna4</t>
  </si>
  <si>
    <t xml:space="preserve">MODALIDAD DEL CURSO </t>
  </si>
  <si>
    <t>NOMBRE DEL CURSO</t>
  </si>
  <si>
    <t>FI</t>
  </si>
  <si>
    <t>FT</t>
  </si>
  <si>
    <t>D</t>
  </si>
  <si>
    <t>GÉNERO</t>
  </si>
  <si>
    <t>C/S COSTO</t>
  </si>
  <si>
    <t>TOTAL DE HORAS</t>
  </si>
  <si>
    <t>GERENTE</t>
  </si>
  <si>
    <t>80185</t>
  </si>
  <si>
    <t>MARCO ANTONIO VILCHIS LARA</t>
  </si>
  <si>
    <t>GERENCIA</t>
  </si>
  <si>
    <t>VILM820421HDFLRR03</t>
  </si>
  <si>
    <t>H</t>
  </si>
  <si>
    <t>JEFE DE OFICINA</t>
  </si>
  <si>
    <t>ESQUIVEL DE LA CRUZ ESTHELA</t>
  </si>
  <si>
    <t>EUCE641228MMCSRS01</t>
  </si>
  <si>
    <t>M</t>
  </si>
  <si>
    <t>JEFE DE UNIDAD</t>
  </si>
  <si>
    <t>206786</t>
  </si>
  <si>
    <t>BAEZ BRENES ALICIA MICHEL</t>
  </si>
  <si>
    <t>BABA000128MMCZRLA6</t>
  </si>
  <si>
    <t>COORDINADOR GENERAL</t>
  </si>
  <si>
    <t>SUAREZ RODRÍGUEZ MARINO</t>
  </si>
  <si>
    <t>SURM691226HVZRDR02</t>
  </si>
  <si>
    <t>AUXILIAR ADMINISTRATIVO</t>
  </si>
  <si>
    <t>206252</t>
  </si>
  <si>
    <t>MORA SÁNCHEZ CARLA ANDREA</t>
  </si>
  <si>
    <t>DEPARTAMENTO DE CONTROL DE CALIDAD</t>
  </si>
  <si>
    <t>MOSC951225MDFRNR02</t>
  </si>
  <si>
    <t>QUIMICO</t>
  </si>
  <si>
    <t>LÓPEZ HERNÁNDEZ MARISOL</t>
  </si>
  <si>
    <t>LOHM830715MSLPRR01</t>
  </si>
  <si>
    <t>TECNICO QUÍMICO</t>
  </si>
  <si>
    <t>RANGEL DÍAZ RAUL</t>
  </si>
  <si>
    <t>RADR640901HDFNZL05</t>
  </si>
  <si>
    <t/>
  </si>
  <si>
    <t>SECRETARIA DE COORDINACION</t>
  </si>
  <si>
    <t>MONROY ENRIQUEZ MARIEL NAYELY</t>
  </si>
  <si>
    <t>MOEM901108MDFNNR06</t>
  </si>
  <si>
    <t>CORTES AGUILERA ARELI YAZMIN</t>
  </si>
  <si>
    <t>COAA950711MDFRGR07</t>
  </si>
  <si>
    <t>TECNICO QUIMICO</t>
  </si>
  <si>
    <t>RAMÍREZ AMADOR RODOLFO ALBERTO</t>
  </si>
  <si>
    <t>RAAR920117HDFMMD06</t>
  </si>
  <si>
    <t xml:space="preserve">AYUDANTE DE LABORATORIO  </t>
  </si>
  <si>
    <t>GUTIERREZ CRUZ JUAN CARLOS</t>
  </si>
  <si>
    <t>GUCJ740518HDFTRN03</t>
  </si>
  <si>
    <t>GONZÁLEZ GLORIA MIGUEL</t>
  </si>
  <si>
    <t>GOGM700207HGTNLG03</t>
  </si>
  <si>
    <t>MEJIA CASTILLO RAFAEL</t>
  </si>
  <si>
    <t>MECR780129HMCJSF02</t>
  </si>
  <si>
    <t>CASTILLO GARCÍA JUAN CARLOS</t>
  </si>
  <si>
    <t>CAGJ681219HDFSRN07</t>
  </si>
  <si>
    <t>TÉCNICO QUÍMICO</t>
  </si>
  <si>
    <t>206278</t>
  </si>
  <si>
    <t>ACOSTA AGUILLÓN RAFAEL</t>
  </si>
  <si>
    <t>AOAR960904HDFCGF00</t>
  </si>
  <si>
    <t>206269</t>
  </si>
  <si>
    <t>OLVERA LÓPEZ BLANCA EUGENIA</t>
  </si>
  <si>
    <t>OELB980510MMCLPL02</t>
  </si>
  <si>
    <t>ANALISTA</t>
  </si>
  <si>
    <t>62019</t>
  </si>
  <si>
    <t>BERMUDEZ ROJAS CLARA ISABEL</t>
  </si>
  <si>
    <t>BERC961024MBSRJL08</t>
  </si>
  <si>
    <t>62018</t>
  </si>
  <si>
    <t>CRUZ MANRÍQUEZ JULIO MAXIMILIANO</t>
  </si>
  <si>
    <t>CUMJ970109HBSRNL09</t>
  </si>
  <si>
    <t>206264</t>
  </si>
  <si>
    <t>ESPINOSA DÍAZ BRYAN EDWIN</t>
  </si>
  <si>
    <t>EIDB940923HMCSZR00</t>
  </si>
  <si>
    <t>206295</t>
  </si>
  <si>
    <t>MINGÜER URIBE ALDO ARIEL</t>
  </si>
  <si>
    <t>MIUA950424HDFNRL04</t>
  </si>
  <si>
    <t>206298</t>
  </si>
  <si>
    <t>GARCIA CHAVEZ DARIANA</t>
  </si>
  <si>
    <t>GACD000131MDFRHRA6</t>
  </si>
  <si>
    <t>206297</t>
  </si>
  <si>
    <t>MILDRED BERENICE MOLINA LEONOR</t>
  </si>
  <si>
    <t>MOLM000221MDFLNLA5</t>
  </si>
  <si>
    <t>3952</t>
  </si>
  <si>
    <t>MARTÍNEZ RITO CARLOS</t>
  </si>
  <si>
    <t>MARC7901104HMCRTR06</t>
  </si>
  <si>
    <t>206309</t>
  </si>
  <si>
    <t>NUÑEZ CISNEROS KEVIN ADAIR</t>
  </si>
  <si>
    <t>NUCK000826HDFXSVA6</t>
  </si>
  <si>
    <t>206310</t>
  </si>
  <si>
    <t>INÉS GARCÍA MAYRA BERENICE</t>
  </si>
  <si>
    <t>IEGM960919MMCNRY04</t>
  </si>
  <si>
    <t>206317</t>
  </si>
  <si>
    <t>RODRÍGUEZ LUNA ANDREA</t>
  </si>
  <si>
    <t>ROLA000815MDFDNNA9</t>
  </si>
  <si>
    <t xml:space="preserve">CAPTURISTA </t>
  </si>
  <si>
    <t>6325</t>
  </si>
  <si>
    <t>SANCHEZ VILCHIS VANESSA</t>
  </si>
  <si>
    <t>JEFE DE OFICINA DE PROGRAMACION</t>
  </si>
  <si>
    <t>PIZAÑA HERNÁNDEZ LAILA EDITH</t>
  </si>
  <si>
    <t>DEPARTAMENTO DE INFORMÁTICA</t>
  </si>
  <si>
    <t>PIHL630410MDFZRL00</t>
  </si>
  <si>
    <t>MUÑOZ GALLARDO ERIKA</t>
  </si>
  <si>
    <t>MUGE821011MDFXLR07</t>
  </si>
  <si>
    <t>PIÑA RIVERA SONIA</t>
  </si>
  <si>
    <t>PIRS761221MDFXVN00</t>
  </si>
  <si>
    <t>GUTIERREZ DE VELASCO SALCEDO ALAN</t>
  </si>
  <si>
    <t>GUSA900101HDFTLL01</t>
  </si>
  <si>
    <t>JIMÉNEZ ALEGRIA RICARDO</t>
  </si>
  <si>
    <t>JIAR681110HDFMLC04</t>
  </si>
  <si>
    <t>SOLLANO CIFUENTES JUAN GUSTAVO</t>
  </si>
  <si>
    <t>SOCJ770308HDFLFN01</t>
  </si>
  <si>
    <t>SATE800105HDFNRD07</t>
  </si>
  <si>
    <t>5888</t>
  </si>
  <si>
    <t>ALCANTARA GARCÍA LUZ MARIA GUADALUPE</t>
  </si>
  <si>
    <t>AAGL740909MDFLRZ07</t>
  </si>
  <si>
    <t>5747</t>
  </si>
  <si>
    <t>SÀNCHEZ TORRES EDGAR RICARDO</t>
  </si>
  <si>
    <t>SUBGERENTE DE  ABASTO</t>
  </si>
  <si>
    <t>AQUINO QUINTANA JUAN ALBERTO</t>
  </si>
  <si>
    <t>SUBGERENCIA DE ABASTO</t>
  </si>
  <si>
    <t>AUQJ660502HDFQNN08</t>
  </si>
  <si>
    <t>RUIZ ARROYO AMPARO</t>
  </si>
  <si>
    <t>RUAA670720MDFZRM02</t>
  </si>
  <si>
    <t>SUPERVISOR</t>
  </si>
  <si>
    <t>HERRERA VELAZQUEZ VICENTE</t>
  </si>
  <si>
    <t xml:space="preserve">TALLER AUTOMOTRIZ </t>
  </si>
  <si>
    <t>HEVV650405HMCRLC04</t>
  </si>
  <si>
    <t>RENTERIA CASTILLO EDITH</t>
  </si>
  <si>
    <t>RECE820310MMCNSD03</t>
  </si>
  <si>
    <t>PINTOR AUTOMOTRIZ</t>
  </si>
  <si>
    <t>URBINA AGUILAR OSCAR</t>
  </si>
  <si>
    <t>UIAO671230HDFRGS04</t>
  </si>
  <si>
    <t>MECÁNICO GASOLINA</t>
  </si>
  <si>
    <t>MONROY GARCÍA EFREN</t>
  </si>
  <si>
    <t>MOGE780618HDFNRF12</t>
  </si>
  <si>
    <t>MECANICO "A"</t>
  </si>
  <si>
    <t>ARANDA GUTIERREZ GABRIEL</t>
  </si>
  <si>
    <t>AAGG600227HDFRTB13</t>
  </si>
  <si>
    <t>SÁNCHEZ OCHOA ABEL</t>
  </si>
  <si>
    <t>SAOA690426HMCNCB01</t>
  </si>
  <si>
    <t>ZAMORANO MORALES CESAR</t>
  </si>
  <si>
    <t>ZAMC780814HDFMRS08</t>
  </si>
  <si>
    <t>MECÁNICO DIESEL</t>
  </si>
  <si>
    <t>CAMPOS ORTIZ IVAN</t>
  </si>
  <si>
    <t>CAOI760627HMCMRV09</t>
  </si>
  <si>
    <t>HOJALATERO</t>
  </si>
  <si>
    <t>MENDEZ BRITO JOSÉ ALBERTO</t>
  </si>
  <si>
    <t>MEBA690408HDFNRL06</t>
  </si>
  <si>
    <t>HERNÁNDEZ LÓPEZ FRANCISCO JAVIER</t>
  </si>
  <si>
    <t>HELF780608HDFRPR00</t>
  </si>
  <si>
    <t>SOLDADOR AUTOMOTRIZ</t>
  </si>
  <si>
    <t>SANTIAGO ZARATE LUIS ENRIQUE</t>
  </si>
  <si>
    <t>SAZL650620HDFNRS01</t>
  </si>
  <si>
    <t>206273</t>
  </si>
  <si>
    <t>RAMÍREZ CORTAZAR JULIO CESAR</t>
  </si>
  <si>
    <t>RACJ730324HDFMRL01</t>
  </si>
  <si>
    <t>JÍMENEZ BARRERA ANGÉLICA MARÍA</t>
  </si>
  <si>
    <t xml:space="preserve">ATENCIÓN Y SERVICIOS A CONCESIONARIOS </t>
  </si>
  <si>
    <t>JIBA660815MDFMRN03</t>
  </si>
  <si>
    <t>JEFE  DE UNIDAD</t>
  </si>
  <si>
    <t>VARGAS GOMEZ KARLA</t>
  </si>
  <si>
    <t>VAGK780609MDFRMR00</t>
  </si>
  <si>
    <t>SÁNCHEZ LANDEROS ESMERALDA</t>
  </si>
  <si>
    <t>SUBGERENCIA DE OPERACIONES</t>
  </si>
  <si>
    <t>SALE781017MDFNNS04</t>
  </si>
  <si>
    <t>602</t>
  </si>
  <si>
    <t>CARDENAS PONCE MARIA GUADALUPE</t>
  </si>
  <si>
    <t>CAPG640227MDFRND09</t>
  </si>
  <si>
    <t>GARCÍA MARTÍNEZ HILDA</t>
  </si>
  <si>
    <t>GAMH740417MDFRRL06</t>
  </si>
  <si>
    <t>SÁNCHEZ MALDONADO FRANCISCO</t>
  </si>
  <si>
    <t>SAMF721006HDFNLR01</t>
  </si>
  <si>
    <t>JEFE DE UNIDAD DE OPERACIÓN</t>
  </si>
  <si>
    <t>AVIÑA ZAMORANO SAUL</t>
  </si>
  <si>
    <t>AIZS710412HDFVML02</t>
  </si>
  <si>
    <t>ARENAS CARMONA HATSUE SAYURI</t>
  </si>
  <si>
    <t>AECH840215MMCRRT00</t>
  </si>
  <si>
    <t>ZETINA ALFARO CESAR AUGUSTO</t>
  </si>
  <si>
    <t>ZEAC770816HDFTLS05</t>
  </si>
  <si>
    <t>CONTRERAS JASSO MARIA TRINIDAD</t>
  </si>
  <si>
    <t>COJT761225MMCNSR03</t>
  </si>
  <si>
    <t>APOYO TECNICO A CONCESIONES</t>
  </si>
  <si>
    <t>GUZMÁN FUENTES CARLOS JONATHAN</t>
  </si>
  <si>
    <t>GUFC860425HDFZNR03</t>
  </si>
  <si>
    <t>RAMÍREZ NUÑEZ BELGICA</t>
  </si>
  <si>
    <t>RANB720208MDFMXL09</t>
  </si>
  <si>
    <t>ORTEGA MARTÍNEZ QUINTINA</t>
  </si>
  <si>
    <t>OEMQ651031MOCRRN01</t>
  </si>
  <si>
    <t>CRUZ ROJAS GASPAR</t>
  </si>
  <si>
    <t>CURG670106HDFRJS09</t>
  </si>
  <si>
    <t>UREÑA RUIZ PATRICIA</t>
  </si>
  <si>
    <t>UERP700314MMCRZT03</t>
  </si>
  <si>
    <t>207683</t>
  </si>
  <si>
    <t xml:space="preserve">BARRIGA VELEZ BARBARA CELIA </t>
  </si>
  <si>
    <t>BAVB790609MMCRLR03</t>
  </si>
  <si>
    <t>206781</t>
  </si>
  <si>
    <t>MORENO CORTES DANIEL</t>
  </si>
  <si>
    <t>MOCD670502HDFRRN06</t>
  </si>
  <si>
    <t>62025</t>
  </si>
  <si>
    <t>MIRANDA ALCANTARA DANIELA KARINA</t>
  </si>
  <si>
    <t>MIAD010628MDFRLNA2</t>
  </si>
  <si>
    <t>206315</t>
  </si>
  <si>
    <t>RAMÍREZ MEDINA ANA ISABEL</t>
  </si>
  <si>
    <t>GONZÁLEZ SANTIAGO DEMETRIO AGUSTIN</t>
  </si>
  <si>
    <t>DEPTO. DE ADMÓN. OPER. DEL PADRÓN DE BENEFICIARIOS</t>
  </si>
  <si>
    <t>GOSD610828HOCNNM05</t>
  </si>
  <si>
    <t>SECRETARIA  DE SUBGERENCIA</t>
  </si>
  <si>
    <t>OCAMPO ESTRADA MARIA DOLORES</t>
  </si>
  <si>
    <t>OAED661223MMCCSL07</t>
  </si>
  <si>
    <t>GARCÍA SALAS RAYMUNDO ALBERTO</t>
  </si>
  <si>
    <t>GASR650315HDFRLY05</t>
  </si>
  <si>
    <t>VELAZQUEZ LÓPEZ JULIO CESAR</t>
  </si>
  <si>
    <t>VELJ751102HPLLPL05</t>
  </si>
  <si>
    <t>X</t>
  </si>
  <si>
    <t>EN LINEA</t>
  </si>
  <si>
    <t>ATENCIÓN SOCIOSANITARIA DE LAS PERSONAS MAYORES EN EL DOMICILIO. (FORTALECIMIENTO DE LAS COMPETENCIAS EN EL PERSONAL DE ENFERMERIA)</t>
  </si>
  <si>
    <t>S/COSTO</t>
  </si>
  <si>
    <t>GÓMEZ QUEZADA MARÍA TERESA</t>
  </si>
  <si>
    <t>GOQT611113MDFMZR11</t>
  </si>
  <si>
    <t>BORJA LÓPEZ LORENA</t>
  </si>
  <si>
    <t>BOLL790701MDFRPR00</t>
  </si>
  <si>
    <t>PÉREZ RIVERO MILTON</t>
  </si>
  <si>
    <t>PERM751015HDFRVL08</t>
  </si>
  <si>
    <t>CENTENO ROSALES RICARDO</t>
  </si>
  <si>
    <t>CERR690117HDFNSC09</t>
  </si>
  <si>
    <t>COORDINADOR</t>
  </si>
  <si>
    <t>GÓMEZ MONJARAS ARTURO</t>
  </si>
  <si>
    <t>GOMA750510HGTMNR03</t>
  </si>
  <si>
    <t>ALCANTARA ESCAMILLA MARIA EUGENIA</t>
  </si>
  <si>
    <t>AAEE631213MDFLSG06</t>
  </si>
  <si>
    <t>VILLEGAS ROBLES SILVIA</t>
  </si>
  <si>
    <t>VIRS670303MDFLBL01</t>
  </si>
  <si>
    <t>HERNÁNDEZ ORTIZ JOSÉ ALFREDO</t>
  </si>
  <si>
    <t>HEOA700426HDFRRL08</t>
  </si>
  <si>
    <t xml:space="preserve">PROMOTOR SOCIAL </t>
  </si>
  <si>
    <t>206272</t>
  </si>
  <si>
    <t xml:space="preserve">PÉREZ CASTILLO ALEJANDRO </t>
  </si>
  <si>
    <t>PECA921011HDFRSL03</t>
  </si>
  <si>
    <t>PROMOTOR SOCIAL</t>
  </si>
  <si>
    <t>206265</t>
  </si>
  <si>
    <t xml:space="preserve">DOMINGUEZ CORTES ERICK </t>
  </si>
  <si>
    <t>DOCE000810HMCMRRA3</t>
  </si>
  <si>
    <t>206266</t>
  </si>
  <si>
    <t xml:space="preserve">SANTOS ARCOS CARLOS JOAQUIN </t>
  </si>
  <si>
    <t>SAAC781114HDFNRR09</t>
  </si>
  <si>
    <t>206267</t>
  </si>
  <si>
    <t xml:space="preserve">REYES SALINAS GEORGINA </t>
  </si>
  <si>
    <t>RESG820114MMCYLR04</t>
  </si>
  <si>
    <t>206268</t>
  </si>
  <si>
    <t xml:space="preserve">HERNANDEZ MARTINEZ FRANCISCO JOHEL </t>
  </si>
  <si>
    <t>HEMF841205HDFRRR03</t>
  </si>
  <si>
    <t>ESTRADA GARCÍA MARIA DEL ROCIO</t>
  </si>
  <si>
    <t>EAGR630725MDFSRC07</t>
  </si>
  <si>
    <t>LEMUS MARTÍNEZ ALEJANDRA ATTZIRY</t>
  </si>
  <si>
    <t>LEMA790831MDFMRL08</t>
  </si>
  <si>
    <t>OJEDA CASTELAN MARÍA GUADALUPE</t>
  </si>
  <si>
    <t>OECG730512MDFJSD03</t>
  </si>
  <si>
    <t>MEJÍA FONSECA YESSICA DENISSE</t>
  </si>
  <si>
    <t>MEFY781111MMCJNS01</t>
  </si>
  <si>
    <t>CARLOS MARTELL GUILLERMINA</t>
  </si>
  <si>
    <t>CAMG621223MZSRRL12</t>
  </si>
  <si>
    <t>VILLALOBOS URIOSTEGUI ARMANDO</t>
  </si>
  <si>
    <t>VIUA720826HDFLRR08</t>
  </si>
  <si>
    <t>MARTÍNEZ HERNÁNDEZ LORENA MARGARITA</t>
  </si>
  <si>
    <t>MAHL721106MMCRRR08</t>
  </si>
  <si>
    <t>SUPERVISOR DEL CENTRO DE DOCUMENTACION</t>
  </si>
  <si>
    <t>CABRERA GÓMEZ GUILLERMO EDUARDO</t>
  </si>
  <si>
    <t>CAGG640625HMCBML03</t>
  </si>
  <si>
    <t>COSTEADOR DE ORDENES DE TRABAJO</t>
  </si>
  <si>
    <t>BASURTO GUZMÁN RICARDO</t>
  </si>
  <si>
    <t>BAGR630804HDFSZC07</t>
  </si>
  <si>
    <t>ANGELES BIBRIESCA REYNA ANGELICA</t>
  </si>
  <si>
    <t>AEBR760904MDFNBY04</t>
  </si>
  <si>
    <t>COORDINADOR DE SECTOR OPERATIVO</t>
  </si>
  <si>
    <t>CORREA PIMENTEL ANA MARTHA</t>
  </si>
  <si>
    <t>COPA520110MDFRMN02</t>
  </si>
  <si>
    <t>SUPERVISOR OPERATIVO</t>
  </si>
  <si>
    <t>LÓPEZ RUEDA RAFAEL JAVIER</t>
  </si>
  <si>
    <t>LORR590517HDFPDF00</t>
  </si>
  <si>
    <t>MEDINA ALVAREZ GRISELDA</t>
  </si>
  <si>
    <t>MEAG620809MMNDLR06</t>
  </si>
  <si>
    <t>MEJÍA GARCÍA FRANCISCO</t>
  </si>
  <si>
    <t>MEGF610620HMCJRR09</t>
  </si>
  <si>
    <t>MENDOZA VARGAS ROSA MARIA</t>
  </si>
  <si>
    <t>MEVR650616MDFNRS04</t>
  </si>
  <si>
    <t>DELGADILLO CHONG MAGDALENA DE JESUS</t>
  </si>
  <si>
    <t>DECM640908MSRLHG01</t>
  </si>
  <si>
    <t>VILLARREAL RIVERA ARIANNA BERENICE</t>
  </si>
  <si>
    <t>VIRA871024MDFLVR05</t>
  </si>
  <si>
    <t>SALAS MATA GERARDO ADRIAN</t>
  </si>
  <si>
    <t>SAMG890906HDFLTR08</t>
  </si>
  <si>
    <t>MENDOZA TREJO MARISOL</t>
  </si>
  <si>
    <t>METM681214MMCNRR05</t>
  </si>
  <si>
    <t>ROBLES ZAVALA DIANA ALEJANDRA</t>
  </si>
  <si>
    <t>ROZD830924MDFBVN05</t>
  </si>
  <si>
    <t>VAZQUEZ CRUZ JOSÉ CLAUDIO</t>
  </si>
  <si>
    <t>VACC730823HDFZRL08</t>
  </si>
  <si>
    <t>PÉREZ HERNÁNDEZ BRENDA</t>
  </si>
  <si>
    <t>PEHB810716MDFRRR08</t>
  </si>
  <si>
    <t>LOZADA MORA COLUMBA ARCELIA</t>
  </si>
  <si>
    <t>LOMC911204MDFZRL12</t>
  </si>
  <si>
    <t>SEPULVEDA ARTEAGA VICTOR MANUEL</t>
  </si>
  <si>
    <t>SEAV710804HDFPRC00</t>
  </si>
  <si>
    <t>VEGA PADILLA CECILIA STEPHANIA</t>
  </si>
  <si>
    <t>VEPC940510MMCGDC07</t>
  </si>
  <si>
    <t>ILLESCAS VILLA JESSICA SELENE</t>
  </si>
  <si>
    <t>IEVJ830607MDFLLS08</t>
  </si>
  <si>
    <t>PATIÑO OLIVAS LIZBETH</t>
  </si>
  <si>
    <t>PAOL900929MMCTLZ07</t>
  </si>
  <si>
    <t>CHÁVEZ VELASCO SERGIO ANTONIO</t>
  </si>
  <si>
    <t>CAVS890723HDFHLR04</t>
  </si>
  <si>
    <t>RAYAS ORTEGA CLAUDIA</t>
  </si>
  <si>
    <t>RAOC640722MDFYRL08</t>
  </si>
  <si>
    <t>MELENDEZ CAMARILLO ANGÉLICA</t>
  </si>
  <si>
    <t>MECA720406MMCLMN08</t>
  </si>
  <si>
    <t>GUZMÁN MARTÍNEZ EDUARDO</t>
  </si>
  <si>
    <t>GUME520906HDFZRD06</t>
  </si>
  <si>
    <t>MAYORGA OSNAYA XOCHITL</t>
  </si>
  <si>
    <t>MAOX631113MDFYSC07</t>
  </si>
  <si>
    <t>HERNÁNDEZ BECERRIL JANNETH CRISTINA</t>
  </si>
  <si>
    <t>HEBJ810324MDFRCN07</t>
  </si>
  <si>
    <t>CAMPOS YAÑEZ NATIVIDAD FABIOLA</t>
  </si>
  <si>
    <t>CAYN800414MDFMXT04</t>
  </si>
  <si>
    <t>20193</t>
  </si>
  <si>
    <t>OBREGON RAMOS MARCO ANTONIO</t>
  </si>
  <si>
    <t>OERM620304HDFBMR01</t>
  </si>
  <si>
    <t>MARCIAL HERNÁNDEZ EBELYN LUCERO</t>
  </si>
  <si>
    <t>MAHE800808MDFRRB08</t>
  </si>
  <si>
    <t>PIÑA VILLAFUERTE ANGEL HUMBERTO</t>
  </si>
  <si>
    <t>PIVA600802HDFXLN04</t>
  </si>
  <si>
    <t>VELAZQUEZ BIURQUIZ JUAN ANTONIO</t>
  </si>
  <si>
    <t>VEBJ900215HDFLRN09</t>
  </si>
  <si>
    <t>GONZALEZ NAVARRO VALERIA</t>
  </si>
  <si>
    <t>GONV971029MDFNVL06</t>
  </si>
  <si>
    <t>LÓPEZ RODRÍGUEZ ANA GRISSEL</t>
  </si>
  <si>
    <t>LORA910705MDFPDN00</t>
  </si>
  <si>
    <t>ARRIOLA MERCADILLO CLAUDIA BEATRIZ</t>
  </si>
  <si>
    <t>AIMC630607MDFRRL08</t>
  </si>
  <si>
    <t>PACHECO ANAYA JUAN MANUEL</t>
  </si>
  <si>
    <t>PAAJ620630HMCCNN08</t>
  </si>
  <si>
    <t>GARCÍA AGUILAR SANDRA MARCELA</t>
  </si>
  <si>
    <t>GAAS840105MDFRGN07</t>
  </si>
  <si>
    <t>SUAREZ LÓPEZ CLAUDIA MARIA ELENA</t>
  </si>
  <si>
    <t>SULC720218MDFRPL03</t>
  </si>
  <si>
    <t>HERNANDEZ CONTRERAS ANGÈLICA GUADALUPE</t>
  </si>
  <si>
    <t>HECA850802MDFRNN03</t>
  </si>
  <si>
    <t>GÓMEZ JARDON ESTELA</t>
  </si>
  <si>
    <t>GOJE640511MDFMRS07</t>
  </si>
  <si>
    <t>RAMÍREZ ESTRADA CLAUDIA MARIA DE LOURDES</t>
  </si>
  <si>
    <t>RAEC690718MDFMSL06</t>
  </si>
  <si>
    <t>OLIVARES ESPINOZA JOSÉ FRANCISCO</t>
  </si>
  <si>
    <t>OIEF800922HDFLSR04</t>
  </si>
  <si>
    <t>GARCÍA AGUILAR LIDIA</t>
  </si>
  <si>
    <t>GAAL700409MDFRGD04</t>
  </si>
  <si>
    <t>BIURQUIZ ISIANO MARGARITA</t>
  </si>
  <si>
    <t>BIIM651017MDFRSR07</t>
  </si>
  <si>
    <t>LÓPEZ SÁNCHEZ PATRICIA</t>
  </si>
  <si>
    <t>LOSP620704MDFPNT01</t>
  </si>
  <si>
    <t>GARCIA PEREZ MARTHA</t>
  </si>
  <si>
    <t>GAPM680913MDFRRR09</t>
  </si>
  <si>
    <t>HUERTA GONZÁLEZ GABRIELA</t>
  </si>
  <si>
    <t>HUGG721024MDFRNB07</t>
  </si>
  <si>
    <t>LÓPEZ SALAZAR GUSTAVO</t>
  </si>
  <si>
    <t>LOSG660919HDFPLS03</t>
  </si>
  <si>
    <t>LÓPEZ MARTÍNEZ MARIA VIRGINIA</t>
  </si>
  <si>
    <t>LOMV710130MDFPRROO</t>
  </si>
  <si>
    <t>GARCÍA GARCÍA ARIEL</t>
  </si>
  <si>
    <t>GAGA490927HDFRRR08</t>
  </si>
  <si>
    <t>CHÁVEZ OSORIO SERGIO</t>
  </si>
  <si>
    <t>CAOS551023HDFHSR03</t>
  </si>
  <si>
    <t>MATA LEDESMA MARÍA GUADALUPE</t>
  </si>
  <si>
    <t>MALG610808MDFTDD03</t>
  </si>
  <si>
    <t>ILLESCAS VILLA MARCO ANTONIO</t>
  </si>
  <si>
    <t>IEVM800707HDFLLR04</t>
  </si>
  <si>
    <t>ESPINO GONZÁLEZ JUAN EDUARDO</t>
  </si>
  <si>
    <t>EIGJ711005 HDFSNN00</t>
  </si>
  <si>
    <t>GARCÍA GARITA EDUARDO GUIOMAR</t>
  </si>
  <si>
    <t>GAGE890501HDFRRD05</t>
  </si>
  <si>
    <t>CORTES TREJO ARELI</t>
  </si>
  <si>
    <t>COTA800428MPLRRR01</t>
  </si>
  <si>
    <t>NAVARRO ADAME KARINA</t>
  </si>
  <si>
    <t>NAAK770404MDFVDR04</t>
  </si>
  <si>
    <t>ACOSTA VILLAFAÑA CELIA GEORGINA</t>
  </si>
  <si>
    <t>AOVC870421MDFCLL03</t>
  </si>
  <si>
    <t>SANTA ROSA TELLEZ ADRIANA</t>
  </si>
  <si>
    <t>SATA640409MDFNLD02</t>
  </si>
  <si>
    <t>REYES SALINAS JULIETA</t>
  </si>
  <si>
    <t>RESJ830730MMCYLL07</t>
  </si>
  <si>
    <t>SALGADO GARDUÑO ITZEL GETZEMANY</t>
  </si>
  <si>
    <t>SAGI870330MMCLRT15</t>
  </si>
  <si>
    <t>MANCILLAS MALDONADO JAIME MANUEL</t>
  </si>
  <si>
    <t>MAMJ650223HDFMLM07</t>
  </si>
  <si>
    <t>MORENO GALAN MARIA GUADALUPE</t>
  </si>
  <si>
    <t>MOGG740602MDFRLD09</t>
  </si>
  <si>
    <t>RUIZ GARCÍA AURICELA</t>
  </si>
  <si>
    <t>RUGA660507MMNZRR09</t>
  </si>
  <si>
    <t>MORENO ISLAS MARIA ELENA</t>
  </si>
  <si>
    <t>MOIE650525MDFRSL06</t>
  </si>
  <si>
    <t>CORTES VEGA HILDA</t>
  </si>
  <si>
    <t>COVH621202MDFRGL06</t>
  </si>
  <si>
    <t>ROJAS VERA OMAR RODRIGO</t>
  </si>
  <si>
    <t>ROVO911217HMCJRM03</t>
  </si>
  <si>
    <t>CARRASCO AQUINO ROSA</t>
  </si>
  <si>
    <t>CAAR650804MOCRQS03</t>
  </si>
  <si>
    <t>SALDAÑA RIVERA VICTOR HUGO</t>
  </si>
  <si>
    <t>SARV720222HDFLVC00</t>
  </si>
  <si>
    <t>ENSALDO SEGURA HUGO ENRIQUE</t>
  </si>
  <si>
    <t>EASH770401HDFNGG03</t>
  </si>
  <si>
    <t>CORTES GONZALEZ BRISA NADXIELLI</t>
  </si>
  <si>
    <t>COGB890222MDFRNR06</t>
  </si>
  <si>
    <t>AVIÑA JIMÉNEZ JUDITH VERONICA</t>
  </si>
  <si>
    <t>AIJJ721028MDFVMD03</t>
  </si>
  <si>
    <t>RODRÍGUEZ REYES ANA MARIA</t>
  </si>
  <si>
    <t>RORA631017MDFDYN04</t>
  </si>
  <si>
    <t>RODRÍGUEZ REYES LUCINA LETICIA</t>
  </si>
  <si>
    <t>RORL700630MDFDYC06</t>
  </si>
  <si>
    <t>PÉREZ FUERTE GABRIELA</t>
  </si>
  <si>
    <t>PEFG830821MDFRRB04</t>
  </si>
  <si>
    <t>GARCÍA PÉREZ CONCEPCION GABRIELA</t>
  </si>
  <si>
    <t>GAPC741213MDFRRN07</t>
  </si>
  <si>
    <t>VICTORIA ZEPEDA LUIS ARTEMIO</t>
  </si>
  <si>
    <t>VIZL811214HMCCPS09</t>
  </si>
  <si>
    <t>GARCÍA CORTES FRANCISCO EMMANUEL</t>
  </si>
  <si>
    <t>GACF790917HDFRRR05</t>
  </si>
  <si>
    <t>PASCUAL BERNAL JULIETA LEONOR</t>
  </si>
  <si>
    <t>PABJ640429MDFSRL03</t>
  </si>
  <si>
    <t>HERNÁNDEZ ROJO CLAUDIA ELISA</t>
  </si>
  <si>
    <t>HERC790209MDFRJL04</t>
  </si>
  <si>
    <t>GARCÍA LÓPEZ DANIELA TERESA</t>
  </si>
  <si>
    <t>GALD830307MDFRPN04</t>
  </si>
  <si>
    <t>RAMÍREZ FUENTES ADELA</t>
  </si>
  <si>
    <t>RAFA620901MDFMND00</t>
  </si>
  <si>
    <t>LEAL QUIROZ ADRIANA</t>
  </si>
  <si>
    <t>LEQA681219MDFLRD06</t>
  </si>
  <si>
    <t>REYES GARCÍA ANA LIA DEL CARMEN</t>
  </si>
  <si>
    <t>REGA711116MDFYRN01</t>
  </si>
  <si>
    <t>LOZADA DÍAZ MARIA ANTONIETA</t>
  </si>
  <si>
    <t>LODA741127MDFZZN11</t>
  </si>
  <si>
    <t>BUENO PRIETO DOLORES ALEJANDRA</t>
  </si>
  <si>
    <t>BUPD760412MDFNRL09</t>
  </si>
  <si>
    <t>ROMERO GARNICA VALERIA EDITH</t>
  </si>
  <si>
    <t>ROGV890922MDFMRL07</t>
  </si>
  <si>
    <t>GONZÁLEZ MOLINA IRMA</t>
  </si>
  <si>
    <t>GOMI630308MDFNLRR07</t>
  </si>
  <si>
    <t>6058</t>
  </si>
  <si>
    <t>VILLEGAS ROBLES JORGE</t>
  </si>
  <si>
    <t>VIRJ590114HDFLBR01</t>
  </si>
  <si>
    <t>206238</t>
  </si>
  <si>
    <t>MENDOZA RAMIREZ ERENDIRA</t>
  </si>
  <si>
    <t>MERE871026MPLNMR08</t>
  </si>
  <si>
    <t>206184</t>
  </si>
  <si>
    <t>VILLANUEVA MONTAÑEZ NORMA ANGÉLICA</t>
  </si>
  <si>
    <t>VIMN700926MDFLNR02</t>
  </si>
  <si>
    <t>206203</t>
  </si>
  <si>
    <t>COCHICOA PEREZ JAIME</t>
  </si>
  <si>
    <t>COPJ680726HMCCRM09</t>
  </si>
  <si>
    <t>206239</t>
  </si>
  <si>
    <t>SALDAÑA GEORGE KARLA</t>
  </si>
  <si>
    <t>SAGK960514MDFLRR09</t>
  </si>
  <si>
    <t>206240</t>
  </si>
  <si>
    <t>JIMENEZ TRIANA SARA DANIELA</t>
  </si>
  <si>
    <t>JITS920721MDFMRR06</t>
  </si>
  <si>
    <t>555</t>
  </si>
  <si>
    <t>HERNÁNDEZ MENDEZ MARÍA ISABEL</t>
  </si>
  <si>
    <t>HEMI720223 MOCRNS09</t>
  </si>
  <si>
    <t>CAPTURISTA</t>
  </si>
  <si>
    <t>6218</t>
  </si>
  <si>
    <t>ORTIZ UNZUETA ZARINA ALEJANDRA</t>
  </si>
  <si>
    <t>OIUZ810219MDFRNR15</t>
  </si>
  <si>
    <t>206204</t>
  </si>
  <si>
    <t xml:space="preserve">ALEJANDRO ESPINOSA SANTA ROSA </t>
  </si>
  <si>
    <t>EISA750424HDFSNL08</t>
  </si>
  <si>
    <t>206293</t>
  </si>
  <si>
    <t>GUZMÁN FUENTES GRISELDA</t>
  </si>
  <si>
    <t>206321</t>
  </si>
  <si>
    <t>RAMIREZ VALLE MANUEL</t>
  </si>
  <si>
    <t>206320</t>
  </si>
  <si>
    <t>GARCÍA LÓPEZ ODALYS</t>
  </si>
  <si>
    <t>206319</t>
  </si>
  <si>
    <t>AYALA MEDINA KARINA GRISELL</t>
  </si>
  <si>
    <t>206337</t>
  </si>
  <si>
    <t>ÁLVAREZ SÁNCHEZ FERNANDA</t>
  </si>
  <si>
    <t>206338</t>
  </si>
  <si>
    <t>CHÁVEZ VELASCO JOSÉ ALEJANDRO</t>
  </si>
  <si>
    <t>COORDINADOR -A- DE DISTRIBUCION</t>
  </si>
  <si>
    <t>CARMONA GARCÍA MARIO HÉCTOR</t>
  </si>
  <si>
    <t>DISTRIBUCIÓN</t>
  </si>
  <si>
    <t>CAGM721205HDFRRR02</t>
  </si>
  <si>
    <t>206249</t>
  </si>
  <si>
    <t>GUERRERO ARZAGA MARIA DEL SOCORRO</t>
  </si>
  <si>
    <t>GUAS601015MDFRRC04</t>
  </si>
  <si>
    <t>TORRES DEL VALLE VIRIDIANA</t>
  </si>
  <si>
    <t>TOVV011215MDFRLRA6</t>
  </si>
  <si>
    <t>ROMERO RAMÍREZ ALBERTO ANASTASIO</t>
  </si>
  <si>
    <t>RORA670802HDFMML04</t>
  </si>
  <si>
    <t>JEFE DEUNIDAD</t>
  </si>
  <si>
    <t>GRANADOS LORA JULIETA</t>
  </si>
  <si>
    <t>GALJ730730MMCRRL00</t>
  </si>
  <si>
    <t>ORTIZ UNZUETA DIANA SELVA</t>
  </si>
  <si>
    <t>OIUD770813MDFRNN01</t>
  </si>
  <si>
    <t>VARGAS REYES ANA LAURA</t>
  </si>
  <si>
    <t>VARA890522MMCRYN03</t>
  </si>
  <si>
    <t>VARGAS CALZADA MARIA DEL CARMEN</t>
  </si>
  <si>
    <t>VACC750421MDFRLR01</t>
  </si>
  <si>
    <t>ENRIQUEZ DAVILA ALMA</t>
  </si>
  <si>
    <t>EIDA680228MDFNVL09</t>
  </si>
  <si>
    <t>BUENDÍA MARTÍNEZ IRLANDA LIZBETH</t>
  </si>
  <si>
    <t>BUMI931004MMCNRR07</t>
  </si>
  <si>
    <t>RUIZ GARCIA ROCIO CARINA</t>
  </si>
  <si>
    <t>RUGR941210MDFZRC06</t>
  </si>
  <si>
    <t>VEGA GONZÁLEZ CHRISTIAN DAVID</t>
  </si>
  <si>
    <t>VEGC951126HDFGNH02</t>
  </si>
  <si>
    <t>AYUDANTE GENERAL</t>
  </si>
  <si>
    <t>HERNÁNDEZ CISNEROS JORGE</t>
  </si>
  <si>
    <t>HECJ700517HDFRSR06</t>
  </si>
  <si>
    <t>CRUZ ANDRADE JOSE ALBERTO</t>
  </si>
  <si>
    <t>CUAA951129HMCRNL05</t>
  </si>
  <si>
    <t>HERNÁNDEZ CRUZ JOSÉ ALFREDO</t>
  </si>
  <si>
    <t>HECA820108HDFRRL01</t>
  </si>
  <si>
    <t>DURÁN GÓNZALEZ JAIME RAÚL</t>
  </si>
  <si>
    <t>DUGJ700218HDFRNM01</t>
  </si>
  <si>
    <t>MALDONADO GÓMEZ ULISES</t>
  </si>
  <si>
    <t>MAGU711226HDFLML01</t>
  </si>
  <si>
    <t>NAVA GARCÍA MARIA ISABEL</t>
  </si>
  <si>
    <t>NAGI751009MDFVRS08</t>
  </si>
  <si>
    <t>GONZÁLEZ NOGUEZ FILIMÓN</t>
  </si>
  <si>
    <t>GONF701122HMCNGL01</t>
  </si>
  <si>
    <t>SUPERVISOR DE ANDEN</t>
  </si>
  <si>
    <t>GUTIERREZ GÓMEZ APOLINAR TEOFILO</t>
  </si>
  <si>
    <t>GUGA660108HMCTMP06</t>
  </si>
  <si>
    <t>REYES NAVARRETE  JOSÉ CONCEPCIÓN</t>
  </si>
  <si>
    <t>RENC591208HDFYVN08</t>
  </si>
  <si>
    <t>JEFE DE UNIDAD  DE ANDEN</t>
  </si>
  <si>
    <t>LANDAVERDE MONCADA LORENZO</t>
  </si>
  <si>
    <t>LAML671101HMCNNR05</t>
  </si>
  <si>
    <t>DESPACHADOR ANDEN</t>
  </si>
  <si>
    <t>RIOS CUEVAS FRANCISCO</t>
  </si>
  <si>
    <t>RICF640726HVZSVR03</t>
  </si>
  <si>
    <t>ACEVES FLORES MARTIN</t>
  </si>
  <si>
    <t>AEFM661109HMCCLR06</t>
  </si>
  <si>
    <t>MADRID TORRES MARIO ALBERTO</t>
  </si>
  <si>
    <t>MATM771017HDFDRR02</t>
  </si>
  <si>
    <t>ROBLES GONZALEZ LEONEL</t>
  </si>
  <si>
    <t>ROGL890705HMCBNN01</t>
  </si>
  <si>
    <t>ROJAS MENDOZA JUAN</t>
  </si>
  <si>
    <t>ROMJ610624HDFJNN02</t>
  </si>
  <si>
    <t>PATIÑO QUERO JUAN</t>
  </si>
  <si>
    <t>PAQJ740421HDFTRN04</t>
  </si>
  <si>
    <t>RAMÍREZ DOMINGUEZ JESÚS</t>
  </si>
  <si>
    <t>RADJ780127HVZMMS06</t>
  </si>
  <si>
    <t>ROJO PÉREZ HIPÓLITO</t>
  </si>
  <si>
    <t>ROPH740719HMCJRP05</t>
  </si>
  <si>
    <t>SUPERVISOR DE DISTRIBUCION EN CAMPO</t>
  </si>
  <si>
    <t>ZAVALA SÁNCHEZ MANUEL</t>
  </si>
  <si>
    <t>ZASM561119ZSVNN03</t>
  </si>
  <si>
    <t>206247</t>
  </si>
  <si>
    <t>SÁNCHEZ RODRÍGUEZ JESÚS</t>
  </si>
  <si>
    <t>SARJ790612HDFNDS05</t>
  </si>
  <si>
    <t>TORRES TAVERA TOMAS</t>
  </si>
  <si>
    <t xml:space="preserve">MANTENIMIENTO CIVIL A LECHERIAS </t>
  </si>
  <si>
    <t>TOTT630216HDFRVM05</t>
  </si>
  <si>
    <t>SUPERVISOR DE RADIOCOMUNICACION</t>
  </si>
  <si>
    <t>ALAMILLA BORJA PEDRO</t>
  </si>
  <si>
    <t>AABP640427HMCLRD03</t>
  </si>
  <si>
    <t>ZACARIAS GONZÁLEZ MA. DEL ROSARIO</t>
  </si>
  <si>
    <t>ZAGM720321MMCCNX04</t>
  </si>
  <si>
    <t>HERNÁNDEZ ALCANTARA ELIZABETH</t>
  </si>
  <si>
    <t>HEAE911111MDFRLL01</t>
  </si>
  <si>
    <t>FLORES VARGAS EDGAR</t>
  </si>
  <si>
    <t>FOVE970321HDFLRD01</t>
  </si>
  <si>
    <t>SALAZAR VELAZQUEZ FABIOLA</t>
  </si>
  <si>
    <t>SAVF750120MDFLLB08</t>
  </si>
  <si>
    <t>6284</t>
  </si>
  <si>
    <t>JIMENEZ VELAZQUEZ PERLA MARIA</t>
  </si>
  <si>
    <t>JIVP840806MDFMLR09</t>
  </si>
  <si>
    <t>SUPERVISOR MANTTO. CIVIL</t>
  </si>
  <si>
    <t>ROCHA RANGEL FRANCISCO</t>
  </si>
  <si>
    <t>RORF661108HMCCNR03</t>
  </si>
  <si>
    <t>SERVIN ARAUJO GILBERTO</t>
  </si>
  <si>
    <t>SEAG660317HDFRRL00</t>
  </si>
  <si>
    <t>TECNICO EN MANTENIMIENTO</t>
  </si>
  <si>
    <t>MARTÍNEZ MARTÍNEZ MARTIN</t>
  </si>
  <si>
    <t>BECL631025 HOCNBS08</t>
  </si>
  <si>
    <t>TÉCNICO EN MANTENIMIENTO</t>
  </si>
  <si>
    <t>GÓMEZ GONZÁLEZ RUBEN</t>
  </si>
  <si>
    <t>GOGR821028HDFMNB07</t>
  </si>
  <si>
    <t>ORTIZ PÉREZ EDUARDO</t>
  </si>
  <si>
    <t>OIPE720209HDFRRD03</t>
  </si>
  <si>
    <t>MIGUEL MARCELO MARCO ANTONIO</t>
  </si>
  <si>
    <t>MIMM760401HMCGRR09</t>
  </si>
  <si>
    <t>PÉREZ ÁNGELES JOSÉ RICARDO</t>
  </si>
  <si>
    <t>PEAR690815HQTRNC07</t>
  </si>
  <si>
    <t>PINTOR</t>
  </si>
  <si>
    <t>ZAMORANO PINEDA CESAR</t>
  </si>
  <si>
    <t>ZAPC720309HDFMNS02</t>
  </si>
  <si>
    <t>MARTÍNEZ VALENZUELA RUBÉN</t>
  </si>
  <si>
    <t>MAVR691228HDFRLB19</t>
  </si>
  <si>
    <t>JARILLO CORTES GABRIEL</t>
  </si>
  <si>
    <t>JACG850403HDFRRB06</t>
  </si>
  <si>
    <t>SALGADO SIMÓN OSCAR</t>
  </si>
  <si>
    <t>SASO860220HMCLMS05</t>
  </si>
  <si>
    <t>ALBAÑIL</t>
  </si>
  <si>
    <t>GARCÍA SALVADOR JOSÉ ANTONIO</t>
  </si>
  <si>
    <t>GASA590408HDFRLN05</t>
  </si>
  <si>
    <t>HERRERO</t>
  </si>
  <si>
    <t>3649</t>
  </si>
  <si>
    <t>MORENO GALVAN CARLOS FRANCISCO</t>
  </si>
  <si>
    <t>MOGC860202HDFRLR08</t>
  </si>
  <si>
    <t>MIGUEL MARCELO HÉCTOR</t>
  </si>
  <si>
    <t>MIMH850831HMCGRC07</t>
  </si>
  <si>
    <t>CARIÑO FERMAN ALEJANDRO</t>
  </si>
  <si>
    <t>CAFA670503HVZRRL06</t>
  </si>
  <si>
    <t>CHÁVEZ MENDEZ JUANA INES</t>
  </si>
  <si>
    <t>CAMJ700930MDFHNN07</t>
  </si>
  <si>
    <t>TECNICO EN MANTENIMIENTO Y REFRIGERACIÓN</t>
  </si>
  <si>
    <t>MEDINA ROBLES OCTAVIO</t>
  </si>
  <si>
    <t>MERO620322HDFDBC00</t>
  </si>
  <si>
    <t>GUTIERREZ CASTRO MIGUEL ANGEL</t>
  </si>
  <si>
    <t xml:space="preserve"> GUCM691102HDFTSG00</t>
  </si>
  <si>
    <t>GARCÍA TOSCOYOGUA JOSÉ RICARDO</t>
  </si>
  <si>
    <t>GATR620610HDFRSC07</t>
  </si>
  <si>
    <t>SOTO BAUTISTA JOSÉ FORTINO</t>
  </si>
  <si>
    <t>SOBF720820HMCTTR04</t>
  </si>
  <si>
    <t>MIRANDA HERNÁNDEZ DANIEL ARTURO</t>
  </si>
  <si>
    <t>MIHD761211HDFRRN04</t>
  </si>
  <si>
    <t>MOLINA PÉREZ ELEAZAR</t>
  </si>
  <si>
    <t>MOPE640823HMSLRL08</t>
  </si>
  <si>
    <t>ROSAS GARCÍA OSCAR</t>
  </si>
  <si>
    <t>ROGO670203HDFSRS05</t>
  </si>
  <si>
    <t>LÓPEZ GARCÍA  RAMON</t>
  </si>
  <si>
    <t>LOGR790831HDFPRM04</t>
  </si>
  <si>
    <t>CHÁVEZ BUSTAMANTE MARTÍN</t>
  </si>
  <si>
    <t>CABM900827HMCHSR04</t>
  </si>
  <si>
    <t>CRUZ FLORES LORENZO</t>
  </si>
  <si>
    <t>CUFL761025HMCRLR09</t>
  </si>
  <si>
    <t>SANABRIA GARDUÑO CARLOS ISMAEL</t>
  </si>
  <si>
    <t>SAGC810909HMCNRR04</t>
  </si>
  <si>
    <t>LANDAVERDE BLANCAS ERIC</t>
  </si>
  <si>
    <t>LABE890605HMCNLR01</t>
  </si>
  <si>
    <t>AVILA RESENDIZ DANIEL ALBERTO</t>
  </si>
  <si>
    <t>AIRD890127HMCVSN01</t>
  </si>
  <si>
    <t>ZUÑIGA LÓPEZ HUMBERTO</t>
  </si>
  <si>
    <t>ZULH720108HMCXPM05</t>
  </si>
  <si>
    <t xml:space="preserve">OPERADOR DE PIPA DIESEL           </t>
  </si>
  <si>
    <t>ORTEGA RODRÍGUEZ ARTURO</t>
  </si>
  <si>
    <t>OERA800129HMCRDR02</t>
  </si>
  <si>
    <t>LÓPEZ PACHECO MANUEL</t>
  </si>
  <si>
    <t>LOPM680808HVZPCN18</t>
  </si>
  <si>
    <t>NAVARRO GUTIERREZ JUAN MANUEL</t>
  </si>
  <si>
    <t>NAGJ700612HDFVTN07</t>
  </si>
  <si>
    <t>MENDOZA PASTEN OSWALDO</t>
  </si>
  <si>
    <t>MEPO731126HDFNSS06</t>
  </si>
  <si>
    <t>VARGAS HERNANDEZ BENJAMIN</t>
  </si>
  <si>
    <t>VAHB860126HDFRRN04</t>
  </si>
  <si>
    <t>GONZÁLEZ GLORIA VICTOR MANUEL</t>
  </si>
  <si>
    <t>GOGV770729HDFNLC02</t>
  </si>
  <si>
    <t>CHOFER</t>
  </si>
  <si>
    <t>ROA ISLAS CESAR DAVID</t>
  </si>
  <si>
    <t>ROIC790202HDFXSS08</t>
  </si>
  <si>
    <t>ZAVALA HERNANDEZ JUAN MANUEL</t>
  </si>
  <si>
    <t>ZAHJ790619HDFVRN05</t>
  </si>
  <si>
    <t>DELGADO REYNA JOSÉ</t>
  </si>
  <si>
    <t>DERJ740524HDFLYS05</t>
  </si>
  <si>
    <t>DIAZ CORNEJO CRISTIAN</t>
  </si>
  <si>
    <t>DICC930827HDFZRR09</t>
  </si>
  <si>
    <t>GÓMEZ BERNAL JUAN ANTONIO</t>
  </si>
  <si>
    <t>GOBJ700807HSPMRN01</t>
  </si>
  <si>
    <t>ISLAS MILIAN JULIO CESAR</t>
  </si>
  <si>
    <t>IAMJ790825HDFSLL10</t>
  </si>
  <si>
    <t>TENORIO ORTEGA RAMÓN</t>
  </si>
  <si>
    <t>TEOR740809HMCNRM08</t>
  </si>
  <si>
    <t>CHAVEZ PÉREZ RIGOBERTO</t>
  </si>
  <si>
    <t>CAPR860402HMCHRG09</t>
  </si>
  <si>
    <t>1299</t>
  </si>
  <si>
    <t xml:space="preserve">GILBERTO SERVÍN ARAUJO </t>
  </si>
  <si>
    <t>LAVADOR ESPECIAL</t>
  </si>
  <si>
    <t>3833</t>
  </si>
  <si>
    <t>ALVAREZ SALMERON VICTOR MANUEL</t>
  </si>
  <si>
    <t>AASV680813HMCLLC06</t>
  </si>
  <si>
    <t>AYUDANTE ESPECIALIZADO</t>
  </si>
  <si>
    <t>3917</t>
  </si>
  <si>
    <t>VELAZQUEZ CERÓN JOSÉ LUIS</t>
  </si>
  <si>
    <t>VECL821021HDFLRS09</t>
  </si>
  <si>
    <t>3939</t>
  </si>
  <si>
    <t>HERNÁNDEZ LÓPEZ JULIO CESAR</t>
  </si>
  <si>
    <t>HELJ870801HDFRPL01</t>
  </si>
  <si>
    <t>3931</t>
  </si>
  <si>
    <t>ALBARRAN MENDOZA LUIS MIGUEL</t>
  </si>
  <si>
    <t>AAML840411HMCLNS00</t>
  </si>
  <si>
    <t>3865</t>
  </si>
  <si>
    <t>BECERRA GARCÍA JOSÉ DANIEL</t>
  </si>
  <si>
    <t>BEGD681008HDFCRN11</t>
  </si>
  <si>
    <t>3964</t>
  </si>
  <si>
    <t>ORTEGA ACEVEDO BRAULIO</t>
  </si>
  <si>
    <t>OEAB030516HMCRCRA5</t>
  </si>
  <si>
    <t>3969</t>
  </si>
  <si>
    <t>SERRANO DELGADO ALBERTO</t>
  </si>
  <si>
    <t>SEDA720727HDFRLL04</t>
  </si>
  <si>
    <t>20284</t>
  </si>
  <si>
    <t>RAMOS DÍAZ FROILAN</t>
  </si>
  <si>
    <t>SUBGERENCIA DE PRODUCCION</t>
  </si>
  <si>
    <t>RADF621015HSPMZR03</t>
  </si>
  <si>
    <t>SANTIAGO OJEDA PAOLA</t>
  </si>
  <si>
    <t>SAOP770816MDFNJL06</t>
  </si>
  <si>
    <t>206031</t>
  </si>
  <si>
    <t>OCAMPO RODRIGUEZ LUIS MANUEL</t>
  </si>
  <si>
    <t xml:space="preserve">PRODUCCIÓN </t>
  </si>
  <si>
    <t>UARL910311HMCCJS01</t>
  </si>
  <si>
    <t>JEFE DE TURNO</t>
  </si>
  <si>
    <t>206254</t>
  </si>
  <si>
    <t>GRANADOS LANDEROS JONATHAN MAYOLO</t>
  </si>
  <si>
    <t>GALJ840421HDFRNN06</t>
  </si>
  <si>
    <t>SUPERVISOR (DESPACHO EN ENVASE)</t>
  </si>
  <si>
    <t>HUERTA DOMINGUEZ CESAR ALBERTO</t>
  </si>
  <si>
    <t>HUDC720806HMCRMS06</t>
  </si>
  <si>
    <t>GARCÍA ILLESCAS JUAN</t>
  </si>
  <si>
    <t>GAIJ600624HDFRLN03</t>
  </si>
  <si>
    <t>MENDOZA MEDINA CLAUDIA IVETTE</t>
  </si>
  <si>
    <t>MEMC780202MDFNDL05</t>
  </si>
  <si>
    <t>CRUZ ROSAS JOSÉ LUIS</t>
  </si>
  <si>
    <t>CURL740913HMCRSS03</t>
  </si>
  <si>
    <t>VALDES RAMÍREZ FILADELFO</t>
  </si>
  <si>
    <t>VARF680106HMNLML04</t>
  </si>
  <si>
    <t>SANTILLAN CASTILLO JULIAN</t>
  </si>
  <si>
    <t>SACJ710128HMCNSL01</t>
  </si>
  <si>
    <t>COORDINADOR "A"</t>
  </si>
  <si>
    <t>FRANCO MIGUEL JAIME</t>
  </si>
  <si>
    <t>FAMJ671222HMCRGM04</t>
  </si>
  <si>
    <t>CAMACHO ZAVALA BRUNO</t>
  </si>
  <si>
    <t>CAZB711006HDFMVR07</t>
  </si>
  <si>
    <t>LÓPEZ HERNÁNDEZ VÍCTOR</t>
  </si>
  <si>
    <t>LOHV720328HCSPRC04</t>
  </si>
  <si>
    <t>205944</t>
  </si>
  <si>
    <t>GARCÍA IBARRA GERARDO</t>
  </si>
  <si>
    <t>GAIG830622HDFRBR04</t>
  </si>
  <si>
    <t>SECRETARIA DE COORDINACIÓN</t>
  </si>
  <si>
    <t>CALDERÓN RODRÍGUEZ ILSE ALEJANDRA</t>
  </si>
  <si>
    <t>CARI891106MMCLDL08</t>
  </si>
  <si>
    <t>SECRETARIA DE COORDINACIÒN</t>
  </si>
  <si>
    <t>HERNÁNDEZ GONZÁLEZ MARIA ANGÉLICA</t>
  </si>
  <si>
    <t>HEGA711226MDFNN03</t>
  </si>
  <si>
    <t>ARELLANO MUÑOZ YESICA YOLANDA</t>
  </si>
  <si>
    <t>AEMY760215MDFRXS02</t>
  </si>
  <si>
    <t>SECRETARIA DE SINDICATO</t>
  </si>
  <si>
    <t>SAMPERIO HERNANDEZ VIRIDIANA</t>
  </si>
  <si>
    <t>SAHV841030MDFMRR07</t>
  </si>
  <si>
    <t>ALBARRAN MENDOZA LEONARDO</t>
  </si>
  <si>
    <t>AAML811216HMCLNN02</t>
  </si>
  <si>
    <t>SALGADO SIMÓN LUIS ALBERTO</t>
  </si>
  <si>
    <t>SASL841028HDFLMS04</t>
  </si>
  <si>
    <t>SANCHEZ LÓPEZ ALEJANDRO</t>
  </si>
  <si>
    <t>SALA970131HMCNPL01</t>
  </si>
  <si>
    <t>TOLVERO</t>
  </si>
  <si>
    <t>ORTEGA GOMEZ MIGUEL ANGEL</t>
  </si>
  <si>
    <t>OEGM950128HMCRMG04</t>
  </si>
  <si>
    <t>HERRERA AGUIRRE JOSÉ FELIX</t>
  </si>
  <si>
    <t>HEAF900323HMCRGL06</t>
  </si>
  <si>
    <t>VAZQUEZ GALICIA BRANDON</t>
  </si>
  <si>
    <t>VAGB960909HMCZLR09</t>
  </si>
  <si>
    <t>3896</t>
  </si>
  <si>
    <t>MARTÍNEZ SÁNCHEZ MARCO ANTONIO</t>
  </si>
  <si>
    <t>PRODUCCIÓN</t>
  </si>
  <si>
    <t>MASM910614HMCRNR01</t>
  </si>
  <si>
    <t>MONROY PÉREZ EDGAR GUADALUPE</t>
  </si>
  <si>
    <t>MOPE970324HMCNRD09</t>
  </si>
  <si>
    <t>MONJARAS HERNÀNDEZ LUIS ALBERTO</t>
  </si>
  <si>
    <t>MOHL790614HMCNRS09</t>
  </si>
  <si>
    <t>GOMEZ MADIN J. ANTONIO</t>
  </si>
  <si>
    <t>GOMA710228HMCMDN15</t>
  </si>
  <si>
    <t>AVILA ROSAS JESUS</t>
  </si>
  <si>
    <t>AIRJ871029HMCSS00</t>
  </si>
  <si>
    <t>MOCTEZUMA HERNÀNDEZ MARCO ANTONIO</t>
  </si>
  <si>
    <t>MOHM700607HMCCRR02</t>
  </si>
  <si>
    <t>GÓMEZ FLORES ROBERTO</t>
  </si>
  <si>
    <t>GOFR730118HDFMLB03</t>
  </si>
  <si>
    <t>2011</t>
  </si>
  <si>
    <t>PALOMINO ZAMORA LUIS EMMANUEL</t>
  </si>
  <si>
    <t>PAZL920724HDFLMS09</t>
  </si>
  <si>
    <t>2005</t>
  </si>
  <si>
    <t>VICTORIA AGUILAR DIEGO MISAEL</t>
  </si>
  <si>
    <t>VIAD040113HMCCGGA9</t>
  </si>
  <si>
    <t>2010</t>
  </si>
  <si>
    <t>SANCHÉZ SANTILLAN SAMUEL</t>
  </si>
  <si>
    <t>SASS030601HMCNNMA0</t>
  </si>
  <si>
    <t>2006</t>
  </si>
  <si>
    <t>GARCÍA VALDÉZ CÉSAR</t>
  </si>
  <si>
    <t>GAVC800427HDFLMS09</t>
  </si>
  <si>
    <t>1998</t>
  </si>
  <si>
    <t>ESCOBAR ESCOBAR HOMERO</t>
  </si>
  <si>
    <t>EOEH871019HDFSSM04</t>
  </si>
  <si>
    <t>2004</t>
  </si>
  <si>
    <t>MARTINEZ GUADARRAMA OSCAR AXEL</t>
  </si>
  <si>
    <t>MAGO000623HMCRDSA9</t>
  </si>
  <si>
    <t>2009</t>
  </si>
  <si>
    <t>MARTÍNEZ ÁNGEL JOSÉ IVÁN</t>
  </si>
  <si>
    <t>MAAI010830HMCRNVA3</t>
  </si>
  <si>
    <t>GARCÍA TORRES MARTÍN DAVID</t>
  </si>
  <si>
    <t>GATM720729HMCRRR04</t>
  </si>
  <si>
    <t>LAVADOR DE CANASTILLAS</t>
  </si>
  <si>
    <t>CHÀVEZ CALDERA JUAN</t>
  </si>
  <si>
    <t>CACJ701230HMCHLN05</t>
  </si>
  <si>
    <t>DELGADO RAMIREZ ÁNGEL GERARDO</t>
  </si>
  <si>
    <t>DERA961001HMCLMN01</t>
  </si>
  <si>
    <t>GARCÍA SAMPEDRO MARIO</t>
  </si>
  <si>
    <t>GASM730119HDFRMR00</t>
  </si>
  <si>
    <t>AVELAR ALFARO JOSÉ ALBERTO</t>
  </si>
  <si>
    <t>AEAA950916HMCVLL09</t>
  </si>
  <si>
    <t>ESPINO MENDOZA SERGIO EDUARDO</t>
  </si>
  <si>
    <t>EIMS921008HDFSNR01</t>
  </si>
  <si>
    <t>GONZÁLEZ TORRES ANIBAL</t>
  </si>
  <si>
    <t>GOTA891117HMCNRN04</t>
  </si>
  <si>
    <t>SANCHEZ OLVERA JOHAN</t>
  </si>
  <si>
    <t>SAOJ871020HMCNLH06</t>
  </si>
  <si>
    <t>GARCÍA RAMIREZ JUAN ALBERTO</t>
  </si>
  <si>
    <t>GARJ980622HMCRMN06</t>
  </si>
  <si>
    <t>HERNÁNDEZ HERNÁNDEZ PEDRO</t>
  </si>
  <si>
    <t>HEHP850819HVZRRD19</t>
  </si>
  <si>
    <t>OPERADOR DE REHIDRATADO</t>
  </si>
  <si>
    <t>REYES MANZANO ANTONINO</t>
  </si>
  <si>
    <t>REMA700704HVZNN03</t>
  </si>
  <si>
    <t>CASTAÑEDA MACIAS CARLOS</t>
  </si>
  <si>
    <t>CAMC870225HMCSCR03</t>
  </si>
  <si>
    <t>SOTELO ALFARO HERIBERTO</t>
  </si>
  <si>
    <t>SOAH800615HMCTLR05</t>
  </si>
  <si>
    <t>VEGA SANTIAGO ALFREDO</t>
  </si>
  <si>
    <t>VESA700522HVZGNL00</t>
  </si>
  <si>
    <t>VELAZQUEZ CARREÑO DIEGO JAIR</t>
  </si>
  <si>
    <t>VECD930130HMCLRG06</t>
  </si>
  <si>
    <t>SALINAS APARICIO JOSÉ LUIS</t>
  </si>
  <si>
    <t>SAAL781018HPLLPS15</t>
  </si>
  <si>
    <t>CALDERÓN LÓPEZ DAVID</t>
  </si>
  <si>
    <t>CALD800628HDFLPV01</t>
  </si>
  <si>
    <t>CASTILLO BALLESTEROS FRANCISCO</t>
  </si>
  <si>
    <t>CABF731004HDFSLR08</t>
  </si>
  <si>
    <t>MAYEN JOCONOSTLE MARTÍN</t>
  </si>
  <si>
    <t>MAJM801004HDFYCR06</t>
  </si>
  <si>
    <t>REYES AGUIRRE RICARDO</t>
  </si>
  <si>
    <t>REAR760403HDFYGC09</t>
  </si>
  <si>
    <t>PÉREZ VELASCO JOSÉ FERNANDO</t>
  </si>
  <si>
    <t>PEVF801113HDFRLR00</t>
  </si>
  <si>
    <t>TALACHERO</t>
  </si>
  <si>
    <t>SÁNCHEZ QUIÑONES JORGE</t>
  </si>
  <si>
    <t>SAQJ771228HDFNXR04</t>
  </si>
  <si>
    <t>ENGRASADOR</t>
  </si>
  <si>
    <t>HERNÁNDEZ SOTO EDGAR YAIR</t>
  </si>
  <si>
    <t>HESE911027HMCRTD07</t>
  </si>
  <si>
    <t>ALMACENISTA A</t>
  </si>
  <si>
    <t>ALBARRAN MENDOZA JUAN CARLOS</t>
  </si>
  <si>
    <t>AAMJ781221HMCLNN18</t>
  </si>
  <si>
    <t>MIGUEL MARCELO OSCAR</t>
  </si>
  <si>
    <t>MIMO780225HDFGRS06</t>
  </si>
  <si>
    <t>SÁNCHEZ PRISCILIANO VÍCTOR ALFONSO</t>
  </si>
  <si>
    <t>SAPV861124HVZNRC04</t>
  </si>
  <si>
    <t>OPERACIÓN DE MONTACARGAS</t>
  </si>
  <si>
    <t>MOLINA HIDALGO OSCAR ALFREDO</t>
  </si>
  <si>
    <t>MOHO930324HMSLDS18</t>
  </si>
  <si>
    <t>MARTÍNEZ MIRANDA CESAR GERMAN</t>
  </si>
  <si>
    <t>MAMC890425HMCRRS03</t>
  </si>
  <si>
    <t>GARCÍA VALENZUELA JOSÉ ENRIQUE</t>
  </si>
  <si>
    <t>GAVE680203HMCRLN08</t>
  </si>
  <si>
    <t>3688</t>
  </si>
  <si>
    <t>RAMÍREZ MENDEZ JOSÉ ROBERTO</t>
  </si>
  <si>
    <t>RAMR760429HDFMNB01</t>
  </si>
  <si>
    <t>SILVA RODRÍGUEZ MIGUEL ANTONIO</t>
  </si>
  <si>
    <t>SIRM751117HDFLDG03</t>
  </si>
  <si>
    <t>GÓMEZ FLORES RUBEN</t>
  </si>
  <si>
    <t>GOFR830517HMCMLB09</t>
  </si>
  <si>
    <t>RAMÍREZ CONTRERAS ABEL</t>
  </si>
  <si>
    <t>RACA790920HDFMNB16</t>
  </si>
  <si>
    <t>MALDONADO FLORES DANIEL DAVID</t>
  </si>
  <si>
    <t>MAFD930721HMCLLN08</t>
  </si>
  <si>
    <t>REYNA ESTRADA JOSÉ ALBERTO</t>
  </si>
  <si>
    <t>REEA791004HDFYSL18</t>
  </si>
  <si>
    <t>PLIEGO GÓMEZ ISRAEL</t>
  </si>
  <si>
    <t>PIGI801213HDFLMS00</t>
  </si>
  <si>
    <t>OPERADOR DE MÁQUINA</t>
  </si>
  <si>
    <t>PAEZ MEXICANO ARMANDO</t>
  </si>
  <si>
    <t>PAMA660316HVZZJR05</t>
  </si>
  <si>
    <t>GARDUÑO VALADEZ JOSÉ ANGEL</t>
  </si>
  <si>
    <t>GAVA790319HDFRLN01</t>
  </si>
  <si>
    <t>DOMINGUEZ ABURTO NARCISO</t>
  </si>
  <si>
    <t>DOAN841030HVZMBR06</t>
  </si>
  <si>
    <t>REYNA ESTRADA PEDRO</t>
  </si>
  <si>
    <t>REEP760428HDFYSD05</t>
  </si>
  <si>
    <t>GUTIERREZ PRESA JOSÉ ALBERTO</t>
  </si>
  <si>
    <t>GUPA820319HMCTRL00</t>
  </si>
  <si>
    <t>MAGDALENO RAMÍREZ JESÚS FRANCISCO</t>
  </si>
  <si>
    <t>MARJ651225HDFGMS01</t>
  </si>
  <si>
    <t>LADINO HUERTA JOSÉ MODESTO</t>
  </si>
  <si>
    <t>LAHM820615HVZDRD09</t>
  </si>
  <si>
    <t>CARMONA HERNÁNDEZ JAVIER</t>
  </si>
  <si>
    <t>CAHJ770821HMNRRV05</t>
  </si>
  <si>
    <t>DÍAZ PLATA JONATHAN</t>
  </si>
  <si>
    <t>DIPJ921119HNCZLN08</t>
  </si>
  <si>
    <t>OPERADOR DE MAQUINA</t>
  </si>
  <si>
    <t>BARRAN CALIX LUIS ALBERTO</t>
  </si>
  <si>
    <t>BACL760713HVZRLS16</t>
  </si>
  <si>
    <t>SANTILLAN CASTILLO RICARDO</t>
  </si>
  <si>
    <t>SACR820207HMCNSC04</t>
  </si>
  <si>
    <t>TREJO CHÁVEZ JOSÉ ENRIQUE</t>
  </si>
  <si>
    <t>TECE700101HDFRHN08</t>
  </si>
  <si>
    <t>LAVADOR DE LÍNEA DE ENVASADO</t>
  </si>
  <si>
    <t>GARCÍA AYALA CARLOS</t>
  </si>
  <si>
    <t>GAAC731004HDFRYR06</t>
  </si>
  <si>
    <t>PÉREZ CHÁVEZ JESUS</t>
  </si>
  <si>
    <t>PECJ770605HDFRHS05</t>
  </si>
  <si>
    <t>DAVILA OROZCO JOSÉ LUIS</t>
  </si>
  <si>
    <t>DAOL740819HMCVRS01</t>
  </si>
  <si>
    <t>LÓPEZ MOREIDA EDGAR ALBERTO</t>
  </si>
  <si>
    <t>LOME721126HTLPRD01</t>
  </si>
  <si>
    <t>OLIVAS MOJICA JOSÉ GABRIEL</t>
  </si>
  <si>
    <t>OIMG661205HDGLJB04</t>
  </si>
  <si>
    <t>SÁNCHEZ MONROY ARMANDO ALEJANDRO</t>
  </si>
  <si>
    <t>SAMA770827HDFNNR08</t>
  </si>
  <si>
    <t>SALINAS BECERRIL OMAR</t>
  </si>
  <si>
    <t>SABO770314HMCLCM08</t>
  </si>
  <si>
    <t>DORANTES GODINEZ JORGE</t>
  </si>
  <si>
    <t>DOGJ780902HDFRDR08</t>
  </si>
  <si>
    <t>HERNÁNDEZ RODRÍGUEZ MANUEL</t>
  </si>
  <si>
    <t>HERM731027HDFRDN08</t>
  </si>
  <si>
    <t>AVELAR CRUZ FELIPE</t>
  </si>
  <si>
    <t>AECF740511HMCVRL04</t>
  </si>
  <si>
    <t>SÁNCHEZ SOTELO DAVID</t>
  </si>
  <si>
    <t>SASD920312HDFNTV08</t>
  </si>
  <si>
    <t>LEMUS MENDOZA CARLOS</t>
  </si>
  <si>
    <t>LEMC671021HDFMNR03</t>
  </si>
  <si>
    <t>HERNÁNDEZ DE LA CRUZ VICTOR</t>
  </si>
  <si>
    <t>HECV660916HVZRRC05</t>
  </si>
  <si>
    <t>DAVILA TREJO FELIPE</t>
  </si>
  <si>
    <t>DATF720921HMCVRL02</t>
  </si>
  <si>
    <t>ROA ISLAS JORGE MANUEL</t>
  </si>
  <si>
    <t>ROIJ701222HDFXSR01</t>
  </si>
  <si>
    <t>DAVILA TREJO JUAN JOSÉ</t>
  </si>
  <si>
    <t>DATJ760926HMCVRN09</t>
  </si>
  <si>
    <t>ROJAS HERNÁNDEZ SERGIO DANIEL</t>
  </si>
  <si>
    <t>ROHS930901HDFJRR03</t>
  </si>
  <si>
    <t>ZAMORANO ROSAS HUMBERTO</t>
  </si>
  <si>
    <t>ZARH701020HMCMSM05</t>
  </si>
  <si>
    <t>CARMONA HERNÁNDEZ ANTONIO</t>
  </si>
  <si>
    <t>CAHA791029HMNRRN13</t>
  </si>
  <si>
    <t>SANDOVAL GÓMEZ CATARINO</t>
  </si>
  <si>
    <t>SAGC730308HZSNMT05</t>
  </si>
  <si>
    <t>CEBALLOS MORENO CRISTIAN GIOVANNI</t>
  </si>
  <si>
    <t>CEMC900410HMCBRH12</t>
  </si>
  <si>
    <t>SÁNCHEZ BALTIERRES MAURICIO</t>
  </si>
  <si>
    <t>SABM631228HMNNLR02</t>
  </si>
  <si>
    <t>CORNEJO SOTO JUAN</t>
  </si>
  <si>
    <t>COSJ670831HDFRTN02</t>
  </si>
  <si>
    <t>PAREDES ROSAS MAXIMILIANO</t>
  </si>
  <si>
    <t>PARM850306HDFRSX05</t>
  </si>
  <si>
    <t>AVILA ROSAS EDGAR</t>
  </si>
  <si>
    <t>AIRE721226HDFVSD02</t>
  </si>
  <si>
    <t>ZACARIAS PATIÑO FERNANDO</t>
  </si>
  <si>
    <t>ZAPF800905HDFCTR04</t>
  </si>
  <si>
    <t>CRUZ MENESES CESAR</t>
  </si>
  <si>
    <t>CUMC811004HDFRNS06</t>
  </si>
  <si>
    <t>HERNÁNDEZ LÓPEZ JESÚS</t>
  </si>
  <si>
    <t>HELJ830511HDFRPS02</t>
  </si>
  <si>
    <t>LANDEROS BAUTISTA MANUEL ALEJANDRO</t>
  </si>
  <si>
    <t>LABM821105HDFNTN09</t>
  </si>
  <si>
    <t>LÓPEZ GARCÍA ENRIQUE</t>
  </si>
  <si>
    <t>LOGE710711HDFPRN06</t>
  </si>
  <si>
    <t>GUTIERREZ CASTRO EDUARDO</t>
  </si>
  <si>
    <t>GUCE740624HDFTSD09</t>
  </si>
  <si>
    <t>1538</t>
  </si>
  <si>
    <t>SÁNCHEZ QUIÑONES GERARDO</t>
  </si>
  <si>
    <t>SAQG730425HZSNXR03</t>
  </si>
  <si>
    <t>ALFARO URBANO IGNACIO</t>
  </si>
  <si>
    <t>AAUI650730HMNLRG13</t>
  </si>
  <si>
    <t>ESPINO HERNÁNDEZ RODOLFO</t>
  </si>
  <si>
    <t>EIHR571218HDFSRD00</t>
  </si>
  <si>
    <t>LUIS MEDINA RAÚL</t>
  </si>
  <si>
    <t>LUMR700328HDFSDL03</t>
  </si>
  <si>
    <t>SALAZAR SOLIS FRANCISCO</t>
  </si>
  <si>
    <t>SASF670909HMCLLR09</t>
  </si>
  <si>
    <t>CABRERA SANDOVAL GABINO</t>
  </si>
  <si>
    <t>CASG651215HVZBNB06</t>
  </si>
  <si>
    <t>SANCHEZ MONROY LUIS ANTONIO</t>
  </si>
  <si>
    <t>SAML750420HMCNNS08</t>
  </si>
  <si>
    <t>SERRANO NICOLAS ARMANDO</t>
  </si>
  <si>
    <t>SENA650405HMCRCR00</t>
  </si>
  <si>
    <t>CANCHOLA CORREA JAVIER</t>
  </si>
  <si>
    <t>CACJ621228HDFNRV01</t>
  </si>
  <si>
    <t>PLATA RINCON MAURICIO</t>
  </si>
  <si>
    <t>PARM740911HDFLNR08</t>
  </si>
  <si>
    <t>RUEDA DAVILA EMMANUEL</t>
  </si>
  <si>
    <t>RUDE810311HDFDVM08</t>
  </si>
  <si>
    <t>ACOSTA MURRIETA SERGIO</t>
  </si>
  <si>
    <t>AOMS800405HVZCRR05</t>
  </si>
  <si>
    <t>3990</t>
  </si>
  <si>
    <t>MARTINEZ PEREZ LUIS BRIAN</t>
  </si>
  <si>
    <t>MAPL040725HMCRRSA8</t>
  </si>
  <si>
    <t>3986</t>
  </si>
  <si>
    <t>GARCIA MONROY JAVIER</t>
  </si>
  <si>
    <t>GAMJ990518HMCRNV05</t>
  </si>
  <si>
    <t>TORNERO</t>
  </si>
  <si>
    <t>3988</t>
  </si>
  <si>
    <t>MARTINEZ FUENTE ISRAEL</t>
  </si>
  <si>
    <t>MAFI831110HMCRNS09</t>
  </si>
  <si>
    <t>3981</t>
  </si>
  <si>
    <t>CERON REYES FLORENTINO</t>
  </si>
  <si>
    <t>CERF690223HMCRYL08</t>
  </si>
  <si>
    <t>3989</t>
  </si>
  <si>
    <t>CABRERA LANDA ILIAN</t>
  </si>
  <si>
    <t>CALI960503HVZBNL06</t>
  </si>
  <si>
    <t>3987</t>
  </si>
  <si>
    <t>ESPÍNO MENDOZA ISRAEL</t>
  </si>
  <si>
    <t>EIMI820221HDFSNS00</t>
  </si>
  <si>
    <t>3961</t>
  </si>
  <si>
    <t>MALDONADO OLVERA ELADIO</t>
  </si>
  <si>
    <t>MAOE740911HDFLLL07</t>
  </si>
  <si>
    <t>3963</t>
  </si>
  <si>
    <t xml:space="preserve">SAUCEDO VILLALON JUAN JOSÉ </t>
  </si>
  <si>
    <t>SAVJ000305HMCCLNA8</t>
  </si>
  <si>
    <t>3966</t>
  </si>
  <si>
    <t>RAMÍREZ CONTRERAS JULIO CESAR</t>
  </si>
  <si>
    <t>RACJ891111HDFMNL06</t>
  </si>
  <si>
    <t>3973</t>
  </si>
  <si>
    <t>HERNANDEZ ALDANA MAXIMINO</t>
  </si>
  <si>
    <t>HEAM850529HHGRLX06</t>
  </si>
  <si>
    <t>3974</t>
  </si>
  <si>
    <t xml:space="preserve">AGUILAR MORALES JOSÉ IVAN </t>
  </si>
  <si>
    <t>AUMI900729HCSGRV05</t>
  </si>
  <si>
    <t>3975</t>
  </si>
  <si>
    <t xml:space="preserve">GONZÁLEZ VILCHIS JAIR </t>
  </si>
  <si>
    <t>GOVJ031013HMCNLRA7</t>
  </si>
  <si>
    <t>3976</t>
  </si>
  <si>
    <t xml:space="preserve">RIOS GALINDO MARCOS </t>
  </si>
  <si>
    <t>RIGM910125HMCSLR04</t>
  </si>
  <si>
    <t>3965</t>
  </si>
  <si>
    <t xml:space="preserve">VILLEGAS TRUJILLO MARCOS DANIEL </t>
  </si>
  <si>
    <t>VITM030425HDFLRRA2</t>
  </si>
  <si>
    <t>3967</t>
  </si>
  <si>
    <t>VARGAS GARCIA JOEL</t>
  </si>
  <si>
    <t>VAGJ720602HGRRRL04</t>
  </si>
  <si>
    <t>3968</t>
  </si>
  <si>
    <t>MALDONADO FLORES ISAAC RAUL</t>
  </si>
  <si>
    <t>MAFI950831HMCLLS08</t>
  </si>
  <si>
    <t>3970</t>
  </si>
  <si>
    <t xml:space="preserve">DÁVILA CHAVEZ LUIS ANTONIO </t>
  </si>
  <si>
    <t>DACL020907HMCVHSA4</t>
  </si>
  <si>
    <t>3978</t>
  </si>
  <si>
    <t xml:space="preserve">AVILA VARGAS OSCAR ALDAIR </t>
  </si>
  <si>
    <t>AIVO010227HMCVRSA8</t>
  </si>
  <si>
    <t>3979</t>
  </si>
  <si>
    <t>MARTINEZ LAUREANO OSCAR</t>
  </si>
  <si>
    <t>MALO740215HDFRRS00</t>
  </si>
  <si>
    <t>3980</t>
  </si>
  <si>
    <t xml:space="preserve">LUNA SANCHEZ GUSTAVO MARTÍN </t>
  </si>
  <si>
    <t>LUSG950201HMCNNS03</t>
  </si>
  <si>
    <t>3982</t>
  </si>
  <si>
    <t>GARCIA RODRIGUEZ OSCAR</t>
  </si>
  <si>
    <t>GARO871127HDFRDS04</t>
  </si>
  <si>
    <t>3983</t>
  </si>
  <si>
    <t>DURAN ALZATE DANTE ALBERTO</t>
  </si>
  <si>
    <t>DUAD041126HMCRLNA0</t>
  </si>
  <si>
    <t>3984</t>
  </si>
  <si>
    <t xml:space="preserve">ALVAREZ GUERRERO ARMANDO </t>
  </si>
  <si>
    <t>AAGA800831HMCLRR02</t>
  </si>
  <si>
    <t>3999</t>
  </si>
  <si>
    <t>LOPEZ PATIÑO EDUARDO</t>
  </si>
  <si>
    <t>LOPE041006HMCPTDA2</t>
  </si>
  <si>
    <t>1994</t>
  </si>
  <si>
    <t>MONJARA HERNANDEZ GENARO EDUARDO</t>
  </si>
  <si>
    <t>MOHG760108HMCNRN00</t>
  </si>
  <si>
    <t>4000</t>
  </si>
  <si>
    <t xml:space="preserve">SANTILLAN RICARDO ALEXANDER </t>
  </si>
  <si>
    <t>SAJR030912HMCNMCA7</t>
  </si>
  <si>
    <t>1990</t>
  </si>
  <si>
    <t>ALVAREZ CISNEROS JUAN PABLO</t>
  </si>
  <si>
    <t>AACJ810902HMCLSN09</t>
  </si>
  <si>
    <t>1993</t>
  </si>
  <si>
    <t>MARTINEZ VALENZUELA DANIEL</t>
  </si>
  <si>
    <t>MAVD791120HDFRLN09</t>
  </si>
  <si>
    <t>1992</t>
  </si>
  <si>
    <t>LIRA LOPEZ JOSE ALEJANDRO</t>
  </si>
  <si>
    <t>LILA750915HDFRPL09</t>
  </si>
  <si>
    <t>1991</t>
  </si>
  <si>
    <t xml:space="preserve">HERNANDEZ DE LA CRUZ FRANCO </t>
  </si>
  <si>
    <t>HECF020218HVZRRRA7</t>
  </si>
  <si>
    <t>3985</t>
  </si>
  <si>
    <t>OLEA GARRIDO FIDEL</t>
  </si>
  <si>
    <t>OEGF920702HMCLRD06</t>
  </si>
  <si>
    <t>3998</t>
  </si>
  <si>
    <t>DE JESUS GARCIA JOHN MISSAEL</t>
  </si>
  <si>
    <t>JEGJ901017HMCSRH08</t>
  </si>
  <si>
    <t>3997</t>
  </si>
  <si>
    <t>HERNANDEZ GARCIA RUBEN</t>
  </si>
  <si>
    <t>HEGR770103HDFRRB01</t>
  </si>
  <si>
    <t>3991</t>
  </si>
  <si>
    <t>PADILLA JUÁREZ ANGEL DANIEL</t>
  </si>
  <si>
    <t>PAJA040331HMCDRNA6</t>
  </si>
  <si>
    <t>3993</t>
  </si>
  <si>
    <t>BARRERA MENDOZA LUIS ALBERTO</t>
  </si>
  <si>
    <t>BAML791105HHGRNS02</t>
  </si>
  <si>
    <t>3996</t>
  </si>
  <si>
    <t>CRUZ COLIN ERICK</t>
  </si>
  <si>
    <t>CUCE020802HMCRLRA3</t>
  </si>
  <si>
    <t>3992</t>
  </si>
  <si>
    <t xml:space="preserve">ISLAS MILLAR SERAFIN EDGAR </t>
  </si>
  <si>
    <t>IAMS771120HDFSLR07</t>
  </si>
  <si>
    <t>1995</t>
  </si>
  <si>
    <t>ZAVALA  FLORES CÉSAR NAEL</t>
  </si>
  <si>
    <t>ZAFC961222HMCVLS03</t>
  </si>
  <si>
    <t>1997</t>
  </si>
  <si>
    <t>CARMONA GARCÍA MAURICIO</t>
  </si>
  <si>
    <t>CAGM021113HMCRRRA4</t>
  </si>
  <si>
    <t>2003</t>
  </si>
  <si>
    <t xml:space="preserve">CABALLERO CARRERA AXEL OMAR </t>
  </si>
  <si>
    <t>CXCA020212HMCBRXA7</t>
  </si>
  <si>
    <t>2000</t>
  </si>
  <si>
    <t>ISLAS SALGADO VICTOR MANUEL</t>
  </si>
  <si>
    <t>IASV861101HGRSLC09</t>
  </si>
  <si>
    <t>2030</t>
  </si>
  <si>
    <t>CARREOLA CASTAÑEDA MANUEL ROGELIO</t>
  </si>
  <si>
    <t>CACM760916MMCR6NO6</t>
  </si>
  <si>
    <t>2020</t>
  </si>
  <si>
    <t>RAMIREZ ALMAZAN JUAN CARLOS</t>
  </si>
  <si>
    <t>RAAJ880624HMCMLN08</t>
  </si>
  <si>
    <t>2029</t>
  </si>
  <si>
    <t>GÓMEZ GAOMA ARÓN</t>
  </si>
  <si>
    <t>GOGA790701HDFMNRO7</t>
  </si>
  <si>
    <t>2032</t>
  </si>
  <si>
    <t>CRUZ BAUTÍSTA JOSÉ AGUSTÍN</t>
  </si>
  <si>
    <t>CUBA790503HMCRTG12</t>
  </si>
  <si>
    <t>2028</t>
  </si>
  <si>
    <t>GUZMAN DURAN CRISTIAN DAVID</t>
  </si>
  <si>
    <t>GUDC010910HMCZRRA7</t>
  </si>
  <si>
    <t>2024</t>
  </si>
  <si>
    <t>CASTAÑEDA ANTONIO OMAR</t>
  </si>
  <si>
    <t>CAA0950425HMCSNMO4</t>
  </si>
  <si>
    <t>2033</t>
  </si>
  <si>
    <t>MARTÍNEZ RITO CAYETANO</t>
  </si>
  <si>
    <t>MARC830807HMCRTI23</t>
  </si>
  <si>
    <t>2023</t>
  </si>
  <si>
    <t>CHAVEZ VEGA ALDAIR YOARI</t>
  </si>
  <si>
    <t>CAVA980806HMCHGLO6</t>
  </si>
  <si>
    <t>2018</t>
  </si>
  <si>
    <t>NESTA MONRROY BRIAN</t>
  </si>
  <si>
    <t>NEMB971109HMCSNR07</t>
  </si>
  <si>
    <t>2014</t>
  </si>
  <si>
    <t>GOMEZ GOMEZ ALEJANDRO</t>
  </si>
  <si>
    <t>GOGA030477HMCMNL06</t>
  </si>
  <si>
    <t>2031</t>
  </si>
  <si>
    <t>AGUILAR LORENZO MARTIN</t>
  </si>
  <si>
    <t>AUNM810130HDFGRR06</t>
  </si>
  <si>
    <t>2019</t>
  </si>
  <si>
    <t>SAUSEDO VILLALÓN ALEX EDUARDO</t>
  </si>
  <si>
    <t>SAVA030507HMCCLLA0</t>
  </si>
  <si>
    <t>2017</t>
  </si>
  <si>
    <t>CASTRO MARTÍNEZ LUIS ANTONIO</t>
  </si>
  <si>
    <t>CAML980708HMCSR502</t>
  </si>
  <si>
    <t>2025</t>
  </si>
  <si>
    <t>GRANADOS RAMIREZ CARLOS ALBERTO</t>
  </si>
  <si>
    <t>GARC830526HMCRMR00</t>
  </si>
  <si>
    <t>2015</t>
  </si>
  <si>
    <t xml:space="preserve">PEREZ REYES IVÁN </t>
  </si>
  <si>
    <t>PER1990817HMCRYV04</t>
  </si>
  <si>
    <t>2043</t>
  </si>
  <si>
    <t>GÓMEZ ESCOBAR JOSÉ DOMINGO</t>
  </si>
  <si>
    <t xml:space="preserve">AYUDANTE GENERAL </t>
  </si>
  <si>
    <t>2036</t>
  </si>
  <si>
    <t>VELÁZQUEZ OSCAR ALEXANDER</t>
  </si>
  <si>
    <t>2044</t>
  </si>
  <si>
    <t>SANTOS V. LUIS FERNANDO</t>
  </si>
  <si>
    <t>2042</t>
  </si>
  <si>
    <t>MONROY PEREZ EFRAIN</t>
  </si>
  <si>
    <t>2040</t>
  </si>
  <si>
    <t>ISLAS PEREZ BRANDON JEUDIEL</t>
  </si>
  <si>
    <t>2041</t>
  </si>
  <si>
    <t>FERNANDEZ RUIZ BRANDON RENE</t>
  </si>
  <si>
    <t>2021</t>
  </si>
  <si>
    <t>MARTINEZ GASCA JONATHAN ALEXIS</t>
  </si>
  <si>
    <t>MAGJ020716HMCRSNA9</t>
  </si>
  <si>
    <t>GONZÁLEZ NOGUEZ BENJAMIN</t>
  </si>
  <si>
    <t xml:space="preserve">MANTENIMIENTO A PLANTA </t>
  </si>
  <si>
    <t>GONB680331HMCNGN04</t>
  </si>
  <si>
    <t>LEAL CORTEZ REYES</t>
  </si>
  <si>
    <t>LECR690106HPLLRY00</t>
  </si>
  <si>
    <t>VAZQUEZ VERA ANA KAREN</t>
  </si>
  <si>
    <t>VAVA900106MDFZRN03</t>
  </si>
  <si>
    <t>SUPERVISOR ELECTRICO</t>
  </si>
  <si>
    <t>VILLANUEVA HERNÁNDEZ HUGO ALEJANDRO</t>
  </si>
  <si>
    <t>VIHH701209HMCLRG01</t>
  </si>
  <si>
    <t>RAMÍREZ MIGUEL BENIGNO SÓSTENES</t>
  </si>
  <si>
    <t>RAMB650213HMCMGN06</t>
  </si>
  <si>
    <t>SUPERVISOR TRATAMIENTO AGUAS</t>
  </si>
  <si>
    <t>BARRAN DOMINGUEZ GERARDO</t>
  </si>
  <si>
    <t>BADG730419HVZRMR04</t>
  </si>
  <si>
    <t>FLORES VELASCO YAEL THALIA</t>
  </si>
  <si>
    <t>FOVY871205MDFLLL07</t>
  </si>
  <si>
    <t>SECRETARIA DE DEPARTAMENTO</t>
  </si>
  <si>
    <t>MORALES SÁNCHEZ SANDRA FABIOLA</t>
  </si>
  <si>
    <t>MOSS891016MDFRNN07</t>
  </si>
  <si>
    <t>CRUZ ENRIQUEZ MARIA ESPERANZA</t>
  </si>
  <si>
    <t>CUEE730731MDFRNS04</t>
  </si>
  <si>
    <t>GALAN LEYVA SANDRA MIREYA</t>
  </si>
  <si>
    <t>GALS830319MMCLYN00</t>
  </si>
  <si>
    <t>MECÁNICO "B"</t>
  </si>
  <si>
    <t>LUQUE JIMÉNEZ RAÚL</t>
  </si>
  <si>
    <t>LUJR870701HMCQML04</t>
  </si>
  <si>
    <t>ELECTRICISTA "B"</t>
  </si>
  <si>
    <t>LUIS HERNÁNDEZ GABRIEL</t>
  </si>
  <si>
    <t>LUHG930530HMCSRB01</t>
  </si>
  <si>
    <t>HERNANDEZ DE LA CRUZ ANSELMO</t>
  </si>
  <si>
    <t>HECA820421HVZRRN06</t>
  </si>
  <si>
    <t>LOPEZ PATIÑO LUIS ALBERTO</t>
  </si>
  <si>
    <t>LOPL970226HMCPTS04</t>
  </si>
  <si>
    <t>ROMERO TOXQUI CARLOS</t>
  </si>
  <si>
    <t>ROTC930426HMCMXR06</t>
  </si>
  <si>
    <t>AYUDANTE DE EFLUENTES</t>
  </si>
  <si>
    <t>SALAZAR SOLIS JUAN LUIS</t>
  </si>
  <si>
    <t>SASJ660411HDFLLN09</t>
  </si>
  <si>
    <t>ORTEGA GONZÁLEZ JAVIER</t>
  </si>
  <si>
    <t>OEGJ741110HGTRNV02</t>
  </si>
  <si>
    <t>CORTES SÁNCHEZ JOSÉ ARTURO</t>
  </si>
  <si>
    <t>COSA840616HDFRNR08</t>
  </si>
  <si>
    <t>ROSALES CHI NOE</t>
  </si>
  <si>
    <t>ROCN831020HMCSHX04</t>
  </si>
  <si>
    <t>CHÁVEZ SÁNCHEZ LUIS MIGUEL</t>
  </si>
  <si>
    <t>CASL871001HMCHNS05</t>
  </si>
  <si>
    <t>CHÁVEZ LUIS AARON ANTONIO</t>
  </si>
  <si>
    <t>CALA870126HMCHSR03</t>
  </si>
  <si>
    <t>MECÁNICO "A"</t>
  </si>
  <si>
    <t>HUATO SOLORIO JOSÉ FRANCISCO</t>
  </si>
  <si>
    <t>HUSF941003HDFTLR06</t>
  </si>
  <si>
    <t>GONZÁLEZ ORTIZ BENJAMÍN MISSAEL</t>
  </si>
  <si>
    <t>GOOB940813HMCNRN01</t>
  </si>
  <si>
    <t>INSTRUMENTISTA</t>
  </si>
  <si>
    <t>MORAN RAMÍREZ ISAIAS</t>
  </si>
  <si>
    <t>MORI710226HQTRMS04</t>
  </si>
  <si>
    <t>MARTÍNEZ ALVAREZ VICENTE</t>
  </si>
  <si>
    <t>MAAV740719HDFRLC09</t>
  </si>
  <si>
    <t>MAQUEDA AGUILAR HÉCTOR</t>
  </si>
  <si>
    <t>MAAH870712HMCQGC04</t>
  </si>
  <si>
    <t>HERRERA ESPINOZA MANUEL</t>
  </si>
  <si>
    <t>HEEM570112HZSRSN02</t>
  </si>
  <si>
    <t>DÍAZ RANGEL JUAN CARLOS</t>
  </si>
  <si>
    <t>DIRJ761011HDFZNN02</t>
  </si>
  <si>
    <t>HERNÁNDEZ MALDONADO JOSÉ ANGEL</t>
  </si>
  <si>
    <t>HEMA730409HMCRLN07</t>
  </si>
  <si>
    <t>AVILES ROBLES EDGAR TIBURCIO</t>
  </si>
  <si>
    <t>AIRE730421HDFVBD06</t>
  </si>
  <si>
    <t>OLIVAS MOJICA BENITO</t>
  </si>
  <si>
    <t>OIMB680510HDFLJN07</t>
  </si>
  <si>
    <t>ARZATE OCAMPO FREDERYC</t>
  </si>
  <si>
    <t>AAOF900118HMCRCR02</t>
  </si>
  <si>
    <t>LEON ROSALES MARIO</t>
  </si>
  <si>
    <t>LERM691002HDFNSR03</t>
  </si>
  <si>
    <t>MONTIEL LANDAVERDE JOSÉ MANUEL</t>
  </si>
  <si>
    <t>MOLM850725HMCNNN06</t>
  </si>
  <si>
    <t>ZAMARRIPA RODRÍGUEZ CRISTOBAL</t>
  </si>
  <si>
    <t>ZARC770307HMCMDR01</t>
  </si>
  <si>
    <t>SANCHEZ SOLIS ESTEBAN</t>
  </si>
  <si>
    <t>VIXO770206HOCGXM09</t>
  </si>
  <si>
    <t>SÁNCHEZ ZENDEJAS NAZARIO</t>
  </si>
  <si>
    <t>PALG880109HDFRPL04</t>
  </si>
  <si>
    <t>ROSAS PRUDENCIO JESÚS ALBERTO</t>
  </si>
  <si>
    <t>SASE870806HMNNLS05</t>
  </si>
  <si>
    <t>MENDOZA GUILLERMO ALVARO</t>
  </si>
  <si>
    <t>OIMC640119HDGLJR06</t>
  </si>
  <si>
    <t>RUIZ FLORES JORGE</t>
  </si>
  <si>
    <t>ROPJ831224HMCSRS03</t>
  </si>
  <si>
    <t>ROJO PÉREZ RAFAEL</t>
  </si>
  <si>
    <t>MEGA740219HMCNLL03</t>
  </si>
  <si>
    <t>PÉREZ SOTO GERARDO</t>
  </si>
  <si>
    <t>PESG820603HMCRTR03</t>
  </si>
  <si>
    <t>SERRATO MUÑOZ ARMANDO</t>
  </si>
  <si>
    <t>RUFJ700119HDFZLR09</t>
  </si>
  <si>
    <t>POBLANO ALVAREZ CRISTIAN</t>
  </si>
  <si>
    <t>ROPR700317HDFJRF02</t>
  </si>
  <si>
    <t>OPERADOR DE TRATAMIENTO DE AGUA</t>
  </si>
  <si>
    <t>VIGUERAS OMAR ÁNGEL</t>
  </si>
  <si>
    <t>VIOM770206HOCGXM09</t>
  </si>
  <si>
    <t>MECANICO "B"</t>
  </si>
  <si>
    <t>PAREDES LÓPEZ GUILLERMO MIGUEL</t>
  </si>
  <si>
    <t>POAC810609HDFBLR05</t>
  </si>
  <si>
    <t>DAVILA TREJO GUSTAVO ALFREDO</t>
  </si>
  <si>
    <t>HESA620412HDFRLR05</t>
  </si>
  <si>
    <t>BLANCO ORTIZ JOSÉ GUADALUPE</t>
  </si>
  <si>
    <t>BAOG701212HVZLRD00</t>
  </si>
  <si>
    <t>SANTIAGO GARCÍA LUIS CARLOS</t>
  </si>
  <si>
    <t>SAGL880912HMCNRS08</t>
  </si>
  <si>
    <t>GÓMEZ FLORES RICARDO</t>
  </si>
  <si>
    <t>GOFR740804HDFMLC06</t>
  </si>
  <si>
    <t>ELECTRICISTA "A"</t>
  </si>
  <si>
    <t>REYES SALINAS EMMANUEL</t>
  </si>
  <si>
    <t>RESE810426HDFYLM09</t>
  </si>
  <si>
    <t xml:space="preserve">HERNÁNDEZ CHOREÑO RAUL ALFREDO  </t>
  </si>
  <si>
    <t>HECR640807HDFRHL09</t>
  </si>
  <si>
    <t>MAQUEDA AGUILAR CESAR ALEJANDRO</t>
  </si>
  <si>
    <t>MAAC941124HMCQGS09</t>
  </si>
  <si>
    <t>ESPINOZA SALDIVAR JUAN</t>
  </si>
  <si>
    <t>EISJ690417HZSSLN05</t>
  </si>
  <si>
    <t>GARCÍA MONTELONGO CARLOS AARON</t>
  </si>
  <si>
    <t>GAMC790604HDFRNR18</t>
  </si>
  <si>
    <t>SÁNCHEZ ZENDEJAS MANUEL</t>
  </si>
  <si>
    <t>SAZM780528HMNNNN09</t>
  </si>
  <si>
    <t>ACEVES FLORES OMAR</t>
  </si>
  <si>
    <t>AEFO770628HMCCLM08</t>
  </si>
  <si>
    <t>PLOMERO</t>
  </si>
  <si>
    <t>3051</t>
  </si>
  <si>
    <t>PATIÑO QUERO DAVID</t>
  </si>
  <si>
    <t>PAQD691120HDFTRV06</t>
  </si>
  <si>
    <t>MIRANDA MARTÍNEZ ODILON</t>
  </si>
  <si>
    <t>MIMO680429HDFRRD00</t>
  </si>
  <si>
    <t>GALICIA LÓPEZ ERNESTO</t>
  </si>
  <si>
    <t>GALE700814HDFLPR04</t>
  </si>
  <si>
    <t>OPERADOR DE EFLUENTES</t>
  </si>
  <si>
    <t>SAUCEDO JAIMES JOSÉ JUAN</t>
  </si>
  <si>
    <t>SAJJ790606HMCCMN05</t>
  </si>
  <si>
    <t>APARICIO PIÑA ADELAIDO</t>
  </si>
  <si>
    <t>AAPA670214HVZPXD00</t>
  </si>
  <si>
    <t>MORALES CALDELAS CARLOS ALBERTO</t>
  </si>
  <si>
    <t>MOCC700418HVZRLR09</t>
  </si>
  <si>
    <t>GÓMEZ SALAZAR ALFREDO</t>
  </si>
  <si>
    <t>GOSA700407HQTMLL06</t>
  </si>
  <si>
    <t>LÓPEZ SOTO JOSÉ JUAN</t>
  </si>
  <si>
    <t>LOSJ760506HMCPTN02</t>
  </si>
  <si>
    <t>COPADO PÉREZ SALVADOR</t>
  </si>
  <si>
    <t>COPS680328HDFPRL03</t>
  </si>
  <si>
    <t>PATIÑO MARQUEZ PEDRO</t>
  </si>
  <si>
    <t>PAMP911222HMCTRD06</t>
  </si>
  <si>
    <t>HERNÁNDEZ ORTEGA JUAN MANUEL</t>
  </si>
  <si>
    <t>HEOJ830624HDFRRN18</t>
  </si>
  <si>
    <t>SOTELO ALFARO JUAN CARLOS</t>
  </si>
  <si>
    <t>SOAJ761015HMCTLN00</t>
  </si>
  <si>
    <t>3578</t>
  </si>
  <si>
    <t>RODRÍGUEZ MARTÍNEZ ALVARO</t>
  </si>
  <si>
    <t>ROMA760714HDFDRL11</t>
  </si>
  <si>
    <t>ROTULISTA</t>
  </si>
  <si>
    <t>RODRÍGUEZ HERNÁNDEZ JOSÉ ANTONIO</t>
  </si>
  <si>
    <t>ROHA860131HMCDRN01</t>
  </si>
  <si>
    <t>JARDINERO</t>
  </si>
  <si>
    <t>RODRÍGUEZ SALDIVAR MIGUEL</t>
  </si>
  <si>
    <t>ROSM800923HDFDLG05</t>
  </si>
  <si>
    <t>206789</t>
  </si>
  <si>
    <t>VARGAS ALVARADO JUAN ANTONIO</t>
  </si>
  <si>
    <t>VAAJ700528HMCRLN09</t>
  </si>
  <si>
    <t>MECÁNICO</t>
  </si>
  <si>
    <t>3764</t>
  </si>
  <si>
    <t>GARCIA TEJERA ISRAEL</t>
  </si>
  <si>
    <t>GATI820506HDFRJS05</t>
  </si>
  <si>
    <t>3950</t>
  </si>
  <si>
    <t>CRUZ COLIN ULISES</t>
  </si>
  <si>
    <t>CUCU000124HMCRLLA4</t>
  </si>
  <si>
    <t>ALZATE BARRAGAN JUAN CARLOS</t>
  </si>
  <si>
    <t>AABJ751019HDFLRN00</t>
  </si>
  <si>
    <t>3945</t>
  </si>
  <si>
    <t>JIMENEZ GÓMEZ MARIO</t>
  </si>
  <si>
    <t>JIGM710114HDFMMR09</t>
  </si>
  <si>
    <t>3958</t>
  </si>
  <si>
    <t>JIMÉNEZ LANDEROS CRISITIAN JOSUE</t>
  </si>
  <si>
    <t>JILC961028HDFMNR05</t>
  </si>
  <si>
    <t>ATAYDE ROA ALEJANDRO</t>
  </si>
  <si>
    <t>AARA750206HMCTXL02</t>
  </si>
  <si>
    <t>3971</t>
  </si>
  <si>
    <t xml:space="preserve">POBLANO ROSAS DIEGO ANTONIO </t>
  </si>
  <si>
    <t>PORD020926HDFBSGA9</t>
  </si>
  <si>
    <t>SECRETARIA</t>
  </si>
  <si>
    <t>6341</t>
  </si>
  <si>
    <t>OLVERA GARCÍA MARIA IVETTE</t>
  </si>
  <si>
    <t>SECREATARIA</t>
  </si>
  <si>
    <t>6342</t>
  </si>
  <si>
    <t>LANDEROS MARVAIS ALEJANDRA</t>
  </si>
  <si>
    <t>206324</t>
  </si>
  <si>
    <t>HERNÁNDEZ MORALES AGAR</t>
  </si>
  <si>
    <t>DESPACHO DE LOS ASUNTOS DE ADMINISTRACIÓN Y FINANZAS</t>
  </si>
  <si>
    <t>HEMA780416MDFRRG07</t>
  </si>
  <si>
    <t>206301</t>
  </si>
  <si>
    <t>TANIA ARLETTE PADILLA RIVERA</t>
  </si>
  <si>
    <t>PART950922MMCDVN02</t>
  </si>
  <si>
    <t>HERNÁNDEZ SOLIS ADRIANA</t>
  </si>
  <si>
    <t>HESA700818MDFRLD04</t>
  </si>
  <si>
    <t>JEFA DE OFICINA</t>
  </si>
  <si>
    <t>206270</t>
  </si>
  <si>
    <t>FLORES MACEDO LILIANA ELIZABETH</t>
  </si>
  <si>
    <t>FOML700609MDFLCL00</t>
  </si>
  <si>
    <t>206288</t>
  </si>
  <si>
    <t>ALATORRE CARBAJAL ARACELI</t>
  </si>
  <si>
    <t xml:space="preserve">RELACIONES INDUSTRIALES </t>
  </si>
  <si>
    <t>AACA660821MDFLRR01</t>
  </si>
  <si>
    <t xml:space="preserve">JEFE DE OFICINA </t>
  </si>
  <si>
    <t>5789</t>
  </si>
  <si>
    <t>CARRASCO MENDOZA MARIA NANCY</t>
  </si>
  <si>
    <t>CAMN741231MDFRNN06</t>
  </si>
  <si>
    <t>206237</t>
  </si>
  <si>
    <t>HERNÁNDEZ DELGADO GIOVANNI</t>
  </si>
  <si>
    <t>HEDG981023HMCRLV07</t>
  </si>
  <si>
    <t>AUXILIAR DEL IMSS</t>
  </si>
  <si>
    <t>792</t>
  </si>
  <si>
    <t>TINOCO FONSECA JUAN FRANCISCO</t>
  </si>
  <si>
    <t>TIFJ670325HMCNNN08</t>
  </si>
  <si>
    <t xml:space="preserve">JEFE DE UNIDAD DE VIGILANCIA </t>
  </si>
  <si>
    <t>206132</t>
  </si>
  <si>
    <t>SÁNCHEZ CARBAJAL RODOLFO</t>
  </si>
  <si>
    <t>SACR650613HDFNRD01</t>
  </si>
  <si>
    <t>6285</t>
  </si>
  <si>
    <t>CORTES SALAZAR HATSUE YAMILE</t>
  </si>
  <si>
    <t>RELACIONES INDUSTRIALES</t>
  </si>
  <si>
    <t>COSH031130MMCRLTA2</t>
  </si>
  <si>
    <t>206157</t>
  </si>
  <si>
    <t>MARTÍNEZ MORGAN JACINTO</t>
  </si>
  <si>
    <t>MAMJ780817HCSRRC02</t>
  </si>
  <si>
    <t>20828</t>
  </si>
  <si>
    <t>RAMÍREZ MENDEZ RODOLFO</t>
  </si>
  <si>
    <t>RAMR641121HMNMND07</t>
  </si>
  <si>
    <t>206222</t>
  </si>
  <si>
    <t>RÁNGEL VARGAS JOSÉ ERNESTO</t>
  </si>
  <si>
    <t>RAVE621107HDFNRR00</t>
  </si>
  <si>
    <t>5698</t>
  </si>
  <si>
    <t>OLIVA CRUZ MARÍA GUADALUPE</t>
  </si>
  <si>
    <t>OICG800703MDFLRD03</t>
  </si>
  <si>
    <t>5754</t>
  </si>
  <si>
    <t>ORTIZ GALINDO SAMANTHA</t>
  </si>
  <si>
    <t>OIGS790210MMCRLM04</t>
  </si>
  <si>
    <t>205669</t>
  </si>
  <si>
    <t>PÉREZ MONDRAGON ISRAEL</t>
  </si>
  <si>
    <t>PEMI731202HDFRNS07</t>
  </si>
  <si>
    <t>6052</t>
  </si>
  <si>
    <t>MUÑOZ GALLARDO OMAR</t>
  </si>
  <si>
    <t>MUGO890813HMCXLM00</t>
  </si>
  <si>
    <t>6174</t>
  </si>
  <si>
    <t>REYNOSO OLVERA ARANZA YAZARETH</t>
  </si>
  <si>
    <t>REOA991017MMCYLR05</t>
  </si>
  <si>
    <t>5877</t>
  </si>
  <si>
    <t>VELASCO MANZANO ADRIANA</t>
  </si>
  <si>
    <t>VEMA680330MDFLND00</t>
  </si>
  <si>
    <t>5804</t>
  </si>
  <si>
    <t>HERNÁNDEZ MENDEZ BENITO</t>
  </si>
  <si>
    <t>HEMB750730HDFRNN01</t>
  </si>
  <si>
    <t>6034</t>
  </si>
  <si>
    <t>PAEZ ROLDAN MIGUEL ANGEL</t>
  </si>
  <si>
    <t>PARM790925HMCZLG01</t>
  </si>
  <si>
    <t>5450</t>
  </si>
  <si>
    <t>MERCADO SÁNCHEZ LUZ MARÍA</t>
  </si>
  <si>
    <t>MESL690105MMCRNZ08</t>
  </si>
  <si>
    <t>MEDICO</t>
  </si>
  <si>
    <t>205856</t>
  </si>
  <si>
    <t>SÁNCHEZ GAMBOA GABRIELA</t>
  </si>
  <si>
    <t>SAGG761210MDFNMB09</t>
  </si>
  <si>
    <t>206151</t>
  </si>
  <si>
    <t>HERNÁNDEZ GALLEGOS CRISTIAN YAIR</t>
  </si>
  <si>
    <t>HEGC880804HDFRLR05</t>
  </si>
  <si>
    <t>6079</t>
  </si>
  <si>
    <t>ARENAS CARMONA MAURICIO HAZAEL</t>
  </si>
  <si>
    <t>AECM941209HMCRRR09</t>
  </si>
  <si>
    <t>5301</t>
  </si>
  <si>
    <t>CRUZ DÍAZ LILIA</t>
  </si>
  <si>
    <t>CUDL691116MDFRZL02</t>
  </si>
  <si>
    <t>6173</t>
  </si>
  <si>
    <t>HERNANDEZ TORRES AMEYALLI ALEJANDRA</t>
  </si>
  <si>
    <t>HETA901211MMCRRM07</t>
  </si>
  <si>
    <t>5663</t>
  </si>
  <si>
    <t>TELLEZ REZA BLANCA</t>
  </si>
  <si>
    <t>TERB680225MMCLZL00</t>
  </si>
  <si>
    <t>6281</t>
  </si>
  <si>
    <t>GONZÁLEZ ZAVALA KARINA</t>
  </si>
  <si>
    <t>GOZK780127MDFNVR01</t>
  </si>
  <si>
    <t>206211</t>
  </si>
  <si>
    <t>ISLAS LÒPEZ JORGE GENARO</t>
  </si>
  <si>
    <t>IALJ820921HDFSPR09</t>
  </si>
  <si>
    <t>6326</t>
  </si>
  <si>
    <t>BARAJAS MARTÍNEZ KAREN</t>
  </si>
  <si>
    <t>6327</t>
  </si>
  <si>
    <t>TINOCO CHÁVEZ PAOLA</t>
  </si>
  <si>
    <t>MURILLO BERMUDEZ LUIS MANUEL</t>
  </si>
  <si>
    <t>FINANZAS</t>
  </si>
  <si>
    <t>MUBL610909HDFRRS03</t>
  </si>
  <si>
    <t>GÓMEZ AGUIRRE KEVIN ANTONIO</t>
  </si>
  <si>
    <t>GOAK970830HDFMGV05</t>
  </si>
  <si>
    <t>ESPINOSA GARCÍA LUIS</t>
  </si>
  <si>
    <t>EIGL620831HDFSRS03</t>
  </si>
  <si>
    <t>RÍOS GUZMÁN ROSARIO</t>
  </si>
  <si>
    <t>ROGR771013MDFSZS03</t>
  </si>
  <si>
    <t xml:space="preserve">JEFE DE UNIDAD  </t>
  </si>
  <si>
    <t>PÉREZ RAMÍREZ ALONDRA ANAI</t>
  </si>
  <si>
    <t>PERA000526MDFRMLA9</t>
  </si>
  <si>
    <t>GÓMEZ MENDOZA CESAR</t>
  </si>
  <si>
    <t>GOMC810118HDFMNS01</t>
  </si>
  <si>
    <t>RODRÍGUEZ HERNÁNDEZ MARÍA DEL CARMEN</t>
  </si>
  <si>
    <t>ROHC741222MMCDRR04</t>
  </si>
  <si>
    <t>JIMÉNEZ BARRANCO MICAELA</t>
  </si>
  <si>
    <t>JIBM551011MPLMRC08</t>
  </si>
  <si>
    <t>ROSAS HERNÁNDEZ JOSÉ MANUEL</t>
  </si>
  <si>
    <t>ROHM680219HDFSRN05</t>
  </si>
  <si>
    <t>MOLINA DOMINGUEZ ABEL</t>
  </si>
  <si>
    <t>MODA640805HVZLMB00</t>
  </si>
  <si>
    <t>PÉREZ MENDOZA MA. DE LOS ÁNGELES</t>
  </si>
  <si>
    <t>PEMA710905MMCRNX01</t>
  </si>
  <si>
    <t>VAZQUEZ CHAVERO VIRGINIA</t>
  </si>
  <si>
    <t>VACV620521MDFZHR09</t>
  </si>
  <si>
    <t>SANDOVAL GARCÍA ERIKA VANESSA</t>
  </si>
  <si>
    <t>SAGE871107MDFNRR05</t>
  </si>
  <si>
    <t>ARELLANO ARELLANO YAJAIRA</t>
  </si>
  <si>
    <t>AEAY971227MMCRRJ02</t>
  </si>
  <si>
    <t>PIZAÑA HERNÁNDEZ LUZ LETICIA</t>
  </si>
  <si>
    <t>PIHL601201MDFZRZ05</t>
  </si>
  <si>
    <t>HERNÁNDEZ GONZÁLEZ VERONICA</t>
  </si>
  <si>
    <t>HEGV690426MDFRNR08</t>
  </si>
  <si>
    <t>206311</t>
  </si>
  <si>
    <t>MORA MORQUECHO DANIEL ALEJANDRO</t>
  </si>
  <si>
    <t>206332</t>
  </si>
  <si>
    <t>ULLOA VÁZQUEZ LUIS ARTURO</t>
  </si>
  <si>
    <t>CARBAJAL OLIVARES ISIDRO</t>
  </si>
  <si>
    <t>ALMACENES</t>
  </si>
  <si>
    <t>CAOI650404HMCRLS02</t>
  </si>
  <si>
    <t>RAMOS ROSAS MARIO</t>
  </si>
  <si>
    <t>RARM981215HDFMSR02</t>
  </si>
  <si>
    <t>DELGADO REYNA SERGIO BRIGIDO</t>
  </si>
  <si>
    <t>DERS661007HDFLYR02</t>
  </si>
  <si>
    <t>SÁNCHEZ NUÑEZ ENRIQUE</t>
  </si>
  <si>
    <t>SANE690514HHGNXN07</t>
  </si>
  <si>
    <t>CLAVIJO GÓMEZ RUBÉN ARMANDO</t>
  </si>
  <si>
    <t>CAGR770313HDFLMB06</t>
  </si>
  <si>
    <t>GONZÁLEZ ZAVALA YANET</t>
  </si>
  <si>
    <t>GOZY790211MDFNVN01</t>
  </si>
  <si>
    <t>RIVERO HERNANDEZ MAURICIO</t>
  </si>
  <si>
    <t>RIHM920404HDFVRR03</t>
  </si>
  <si>
    <t xml:space="preserve">EN LINEA </t>
  </si>
  <si>
    <t>BASCULISTA</t>
  </si>
  <si>
    <t>GUTIERREZ DE VELASCO SALCEDO FRANCISCO JAVIER</t>
  </si>
  <si>
    <t>GUSF860322HDFTLR00</t>
  </si>
  <si>
    <t>SALAZAR VELAZQUEZ GEORGINA</t>
  </si>
  <si>
    <t>SAVG780608MDFLLR06</t>
  </si>
  <si>
    <t>GONZÁLEZ ÁNGELES ERIK</t>
  </si>
  <si>
    <t>GOAE850601HMCNNR02</t>
  </si>
  <si>
    <t>MERIDA AVELAR ISABEL</t>
  </si>
  <si>
    <t>MEAI750301MDFRVS17</t>
  </si>
  <si>
    <t>MEJÍA FONSECA ENRIQUE</t>
  </si>
  <si>
    <t>MEFE740804MMCJNN04</t>
  </si>
  <si>
    <t>RAMOS ANGELES DANIEL</t>
  </si>
  <si>
    <t>RAAD760604HMCMNN00</t>
  </si>
  <si>
    <t>RUIZ VERA EUGENIO</t>
  </si>
  <si>
    <t xml:space="preserve"> RUVE790918HDFZRG04</t>
  </si>
  <si>
    <t>CONTRERAS JASSO JOSÉ ALBERTO</t>
  </si>
  <si>
    <t>CXJA840822HMCNSL06</t>
  </si>
  <si>
    <t>ACEVEDO MORALES JOSÉ ANTONIO</t>
  </si>
  <si>
    <t>AEMA901022HMCCRN01</t>
  </si>
  <si>
    <t>GARCÍA CORTEZ ÁNGEL HUMBERTO</t>
  </si>
  <si>
    <t>GACA771001HMCRRN07</t>
  </si>
  <si>
    <t>SERRATO MUÑOZ RUBEN</t>
  </si>
  <si>
    <t>SEMR690612HMCRXB02</t>
  </si>
  <si>
    <t>CRUZ REYES JORGE</t>
  </si>
  <si>
    <t>CURJ710912HMCCRYR00</t>
  </si>
  <si>
    <t>MONTACARGUISTA</t>
  </si>
  <si>
    <t>ORTEGA RANGEL JESUS</t>
  </si>
  <si>
    <t>OERJ731225HDFRNS07</t>
  </si>
  <si>
    <t>DELGADO REYNA GERARDO</t>
  </si>
  <si>
    <t>DERG710116HDFLYR08</t>
  </si>
  <si>
    <t>SANTOS LUCIANO FREDDY</t>
  </si>
  <si>
    <t>SALF820823HMCNCR05</t>
  </si>
  <si>
    <t>MEJÍA CASTILLO ALBERTO</t>
  </si>
  <si>
    <t>MECA811215HMCJSL04</t>
  </si>
  <si>
    <t>GARCÍA HERNÁNDEZ TOMAS</t>
  </si>
  <si>
    <t>GAHT820527HDFRRM09</t>
  </si>
  <si>
    <t>ACEVES FLORES VICTOR</t>
  </si>
  <si>
    <t>AEFV710112HMCCLC00</t>
  </si>
  <si>
    <t>CHÁVEZ BUSTAMANTE GERMÁN</t>
  </si>
  <si>
    <t>CABG920216HMCHSR03</t>
  </si>
  <si>
    <t>SALDIVAR BUSTMANTE JORGE LUIS</t>
  </si>
  <si>
    <t>SABJ670627HDFLSR01</t>
  </si>
  <si>
    <t>DOMINGUEZ MERLIN JOSÉ</t>
  </si>
  <si>
    <t>DOMJ691005HVZMRS01</t>
  </si>
  <si>
    <t>6787</t>
  </si>
  <si>
    <t>DIAZ AGUAYO RICARDO</t>
  </si>
  <si>
    <t>DIAR821108HDFZGC00</t>
  </si>
  <si>
    <t>3669</t>
  </si>
  <si>
    <t>HERNÁNDEZ LÓPEZ ERICK OMAR</t>
  </si>
  <si>
    <t>HELE760717HDFRPR09</t>
  </si>
  <si>
    <t>5736</t>
  </si>
  <si>
    <t>VARGUEZ SÁNCHEZ CESAR ARMANDO</t>
  </si>
  <si>
    <t>VASC781125HDFRNS04</t>
  </si>
  <si>
    <t>20383</t>
  </si>
  <si>
    <t xml:space="preserve">ISIDRO CARBAJAL OLIVARES </t>
  </si>
  <si>
    <t>6330</t>
  </si>
  <si>
    <t>RIVERA HERNANDEZ DANIEL</t>
  </si>
  <si>
    <t>6328</t>
  </si>
  <si>
    <t>TORRES HERNÁNDEZ RODOLFO</t>
  </si>
  <si>
    <t>6329</t>
  </si>
  <si>
    <t>GALLARDO ABARCA EDGAR ALAN</t>
  </si>
  <si>
    <t>6331</t>
  </si>
  <si>
    <t>DELGADO CORNEJO JAIRO ELIHU</t>
  </si>
  <si>
    <t>ARRIAGA NAVA CECILIA</t>
  </si>
  <si>
    <t xml:space="preserve">ADQUISICIONES Y SERVICIOS GENERALES </t>
  </si>
  <si>
    <t>AINC960421MMCRV03</t>
  </si>
  <si>
    <t>206782</t>
  </si>
  <si>
    <t>LÓPEZ HERNANDEZ MARIA JOSÉ</t>
  </si>
  <si>
    <t>LOHJ920511MDFPRS08</t>
  </si>
  <si>
    <t>206277</t>
  </si>
  <si>
    <t>RUIZ ORBE BEATRIZ</t>
  </si>
  <si>
    <t>RUOB660729MGRZRT06</t>
  </si>
  <si>
    <t>206785</t>
  </si>
  <si>
    <t xml:space="preserve">CRUZ ALCÁNTARA FERNANDO </t>
  </si>
  <si>
    <t>CUAF010726HMCRLRA8</t>
  </si>
  <si>
    <t>CHOFER MOSTRADOR</t>
  </si>
  <si>
    <t>6287</t>
  </si>
  <si>
    <t>GONZÁLEZ CARMONA EMMANUEL</t>
  </si>
  <si>
    <t>GOCE970413HMCNRM02</t>
  </si>
  <si>
    <t>6282</t>
  </si>
  <si>
    <t>LOZANO RODRÍGUEZ BRENDA</t>
  </si>
  <si>
    <t>LORB020526MDFZDRA6</t>
  </si>
  <si>
    <t>206289</t>
  </si>
  <si>
    <t>GUADARRAMA JAIME CLAUDIA ITZEL</t>
  </si>
  <si>
    <t>GUJC831213MDFDML06</t>
  </si>
  <si>
    <t>JIMÉNEZ MORALES JOSEFINA</t>
  </si>
  <si>
    <t>JIMJ641025 MOCMRS00</t>
  </si>
  <si>
    <t>CURSO PARA LA OPERACIÓN DEL MÓDULO DE PROCEDIMIENTOS DE CONTRATACIÓN EN LA PLATAFORMA COMPRAS MX</t>
  </si>
  <si>
    <t>HERNÁNDEZ ESTRADA RUBEN</t>
  </si>
  <si>
    <t>HEER610706HDFRSB08</t>
  </si>
  <si>
    <t>LÓPEZ MENDOZA GLORIA</t>
  </si>
  <si>
    <t>LOMG690405MMNPNL02</t>
  </si>
  <si>
    <t>RUIZ VERA MARIA GUADALUPE</t>
  </si>
  <si>
    <t>RUVG780605MDFZRD06</t>
  </si>
  <si>
    <t>MARTÍNEZ ALVAREZ ROSA MARIA</t>
  </si>
  <si>
    <t>MAAR690513MDFRLS03</t>
  </si>
  <si>
    <t>VALADEZ AVILA CONSTANTINO JUAN</t>
  </si>
  <si>
    <t>VAAC690311HDFLVN02</t>
  </si>
  <si>
    <t>EXPEDITADORA</t>
  </si>
  <si>
    <t>MUÑOZ GALLARDO ELENA</t>
  </si>
  <si>
    <t>MUGE821011MDFXLL08</t>
  </si>
  <si>
    <t>JEFE DE UNIDAD DE ROPERIA</t>
  </si>
  <si>
    <t>LEYVA NUÑEZ JAVIER</t>
  </si>
  <si>
    <t>LENJ660720HMCYXV03</t>
  </si>
  <si>
    <t>REYNOSO HERNÁNDEZ CLAUDIA</t>
  </si>
  <si>
    <t>REHC710508MDFYRL01</t>
  </si>
  <si>
    <t>RODRÍGUEZ RODRÍGUEZ JUANA GABRIELA</t>
  </si>
  <si>
    <t>RORJ681227MDFDDN00</t>
  </si>
  <si>
    <t>ROLDAN GRANADOS PABLO</t>
  </si>
  <si>
    <t>ROGP561118HMCLRB00</t>
  </si>
  <si>
    <t>VARGAS GARCÍA IRMA</t>
  </si>
  <si>
    <t>VAGI711121MDFRRR02</t>
  </si>
  <si>
    <t>OPERADORA DE CONMUTADOR</t>
  </si>
  <si>
    <t>CRUZ MEJÍA MARIA DEL SOCORRO</t>
  </si>
  <si>
    <t>CUMS660816MDFRJC007</t>
  </si>
  <si>
    <t>3841</t>
  </si>
  <si>
    <t>BARRERA ROSILLO JOSÉ JAIME</t>
  </si>
  <si>
    <t>BARJ670511HDFRSM01</t>
  </si>
  <si>
    <t>MANZANO REYES JAVIER</t>
  </si>
  <si>
    <t>MARJ740901HDFNYV05</t>
  </si>
  <si>
    <t>3682</t>
  </si>
  <si>
    <t>GARCÍA ZÁRRAGA JORGE</t>
  </si>
  <si>
    <t>GAZJ720622HGTRRR09</t>
  </si>
  <si>
    <t>ALMACENISTA  DE ROPERIA "B"</t>
  </si>
  <si>
    <t>HERNÁNDEZ MENDEZ MIGUEL</t>
  </si>
  <si>
    <t>HEMM810630HDFRNG06</t>
  </si>
  <si>
    <t>RAMÍREZ AGUILAR JOSÉ ALFREDO</t>
  </si>
  <si>
    <t>RAAA711124HDFMGL10</t>
  </si>
  <si>
    <t>PELUQUERO</t>
  </si>
  <si>
    <t>GONZÁLEZ RAMOS MARIANA</t>
  </si>
  <si>
    <t>GORM720805MDFNMR08</t>
  </si>
  <si>
    <t>5105</t>
  </si>
  <si>
    <t>ALAMILLA CORTES ERICK ALEJANDRO</t>
  </si>
  <si>
    <t>AACE740205HDFLRR03</t>
  </si>
  <si>
    <t>3932</t>
  </si>
  <si>
    <t>MEDINA ROBLES HUGO</t>
  </si>
  <si>
    <t>MERH671203HDFDBG03</t>
  </si>
  <si>
    <t>VALENCIA LÓPEZ LEONOR</t>
  </si>
  <si>
    <t>CRÉDITO Y COBRANZAS</t>
  </si>
  <si>
    <t>VALL700916 MDFLPN07</t>
  </si>
  <si>
    <t>206201</t>
  </si>
  <si>
    <t>HERRERA SANTIAGO DIANA BEATRIZ</t>
  </si>
  <si>
    <t>HESD890403MDFRNN09</t>
  </si>
  <si>
    <t>SANCHEZ LANDEROS ROSA MARIA</t>
  </si>
  <si>
    <t>SALR730603MDFNNS01</t>
  </si>
  <si>
    <t>PIÑA MELGAREJO MIGUEL ALFREDO</t>
  </si>
  <si>
    <t>PIMM880113HDFXLG01</t>
  </si>
  <si>
    <t>JEFED UNIDAD</t>
  </si>
  <si>
    <t>VERNON ARRONTE DANIEL ALEJANDRO</t>
  </si>
  <si>
    <t>VEAD810308HNERRN09</t>
  </si>
  <si>
    <t>NAVA CEDEÑO SERGIO</t>
  </si>
  <si>
    <t>NACS821008HDFVDR04</t>
  </si>
  <si>
    <t>206784</t>
  </si>
  <si>
    <t>PÉREZ AVILES JAQUELINE</t>
  </si>
  <si>
    <t>PEAJ930616MMCRVQ03</t>
  </si>
  <si>
    <t>206780</t>
  </si>
  <si>
    <t>PACHECO HURTADO BRENDA</t>
  </si>
  <si>
    <t>PAHB980928MDFCRR01</t>
  </si>
  <si>
    <t>6202</t>
  </si>
  <si>
    <t>RESENDIZ RODRIGUEZ GIBRAHAM ARTURO</t>
  </si>
  <si>
    <t>RERG921015HDFSDB04</t>
  </si>
  <si>
    <t xml:space="preserve">                                                                                            </t>
  </si>
  <si>
    <t>TOTAL MUJERES</t>
  </si>
  <si>
    <t>TOTAL HOMBRES</t>
  </si>
  <si>
    <t>ELABORÓ</t>
  </si>
  <si>
    <t>AUTORIZÓ</t>
  </si>
  <si>
    <t xml:space="preserve">C.BLANCA TELLEZ REZA </t>
  </si>
  <si>
    <t>LIC. GABRIEL VELARDE REYES</t>
  </si>
  <si>
    <t>JEFA DE OFICINA DEL DEPTO. RELACIONES INDUSTRIALES</t>
  </si>
  <si>
    <t>ENCARGADO DEL DEPTO. RELACIONES INDUSTRIALES</t>
  </si>
  <si>
    <t xml:space="preserve">REGULARIZACIÓN NORMATIVA EN MATERIA DE IMPACTO AMBIENTAL </t>
  </si>
  <si>
    <t>FÚTBOL SIN CORRER: FUNDAMENTOS PARA UN JUEGOLIMPIO Y SEGURO</t>
  </si>
  <si>
    <t>ABORDAJE DE TRASTORNOS POR CONSUMO DE SUSTANCIAS EN EL TERCER NIVEL DE ATENCIÓN CON BASE EN EL NUEVO MODELO MEXICANO</t>
  </si>
  <si>
    <t>DIVERSIDAD SEXUAL Y DERECHOS HUMANOS</t>
  </si>
  <si>
    <t xml:space="preserve">ACCIONES PARA ABORDAR RIESGOS Y OPORTUNIDADES </t>
  </si>
  <si>
    <t>ACCIONES PARA ABORDAR RIESGOS Y OPORTUNIDADES</t>
  </si>
  <si>
    <t>EQUIPOS DE REFRIGERACIÓN Y AIRE ACONDICIONADO</t>
  </si>
  <si>
    <t xml:space="preserve">ISO 9001 : 2026 Y SUS NUEVOS REQUERIMENTOS </t>
  </si>
  <si>
    <t>CONTROL DE LA INFORMACIÓN DOCUMENTADA</t>
  </si>
  <si>
    <t>CUMPLIMIENTO DEL REQUISITO CALIBRACIÓN DE INSTRUMENTOS DE MEDICIÓN</t>
  </si>
  <si>
    <t xml:space="preserve">COORDINADOR A </t>
  </si>
  <si>
    <t>206350</t>
  </si>
  <si>
    <t>HERNÁNDEZ SAN MARTIN CECILIA</t>
  </si>
  <si>
    <t>PLATICA DE INDUCCIÓN AL PERSONAL DE NUEVO INGRESO</t>
  </si>
  <si>
    <t xml:space="preserve">PRESENCIAL </t>
  </si>
  <si>
    <t>AUTONOMIÁ Y DERECHOS HUMANOS DE LAS MUJERES</t>
  </si>
  <si>
    <t>PLATICA DE SEGURIDAD E HIGIENE AL PERSONAL DE NUEVO INGRESO</t>
  </si>
  <si>
    <t>PLATICA DE INDUCCIÓN IMSS AL PERSONAL DE NUEVO INGRESO</t>
  </si>
  <si>
    <t>206362</t>
  </si>
  <si>
    <t>SALINAS JIMENEZ JUAN CARLOS</t>
  </si>
  <si>
    <t>2027</t>
  </si>
  <si>
    <t>Cursos</t>
  </si>
  <si>
    <t>$</t>
  </si>
  <si>
    <t>MODALIDAD</t>
  </si>
  <si>
    <t>DURACIÓN</t>
  </si>
  <si>
    <t>ABORDAJE DE TRASTORNO POR CONSUMO DE SUSTANCIAS EN EL TERCER NIVEL DE ATENCIÓN CON BASE EN EL NUEVO MODELO MEXICANO</t>
  </si>
  <si>
    <t>EN LÍNEA</t>
  </si>
  <si>
    <t>ATENCIÓN A TRANSTORNOS MENTALES BASADA EN LA ESTRATEGIA mhGAP</t>
  </si>
  <si>
    <t>ESGUINCE DE TOBILLO Y MUÑECA</t>
  </si>
  <si>
    <t>ABC DE LA OBESIDAD</t>
  </si>
  <si>
    <t>PREVENCIÓN DE LA TRATA DE PERSONAS</t>
  </si>
  <si>
    <t xml:space="preserve">DERECHOS HUMANOS Y SALUD </t>
  </si>
  <si>
    <t xml:space="preserve">MARKETING DIGITAL I </t>
  </si>
  <si>
    <t>PLÁTICA DE INDUCCIÓN AL PERSONAL DE NUEVO INGRESO</t>
  </si>
  <si>
    <t>PLÁTICA DE SEGURIDAD E HIGIENE INDUSTRIAL AL PERSONAL DE NUEVO INGRESO</t>
  </si>
  <si>
    <t>PRESENCIAL</t>
  </si>
  <si>
    <t>EXCEL INTERMEDIO</t>
  </si>
  <si>
    <t>PLATICA DE INDUCCIÓN IMSS</t>
  </si>
  <si>
    <t>APLICACIONES DE LA INTELIGENCIA ARTIFICIAL EN EL USO Y OPTIMIZACIÓN DE SISTMAS DE ENERGÍA RENOVABLE</t>
  </si>
  <si>
    <t>PROCESO DE PASTEURIZACIÓN Y LAVADO DE EQUIPO</t>
  </si>
  <si>
    <t>ASESORÍA SOBRE ACCIONES DE MEJORA DE LA PTAR</t>
  </si>
  <si>
    <t>S/COSTO (2024)</t>
  </si>
  <si>
    <t>CONSUMO DE SUSTANCIAS PSICOACTIVAS EN EL ENTORNO LABORAL</t>
  </si>
  <si>
    <t>REFORMAS FISCALES 2024</t>
  </si>
  <si>
    <t xml:space="preserve">DE LA DUDA A LA CONFIANZA EMPODERANDO TU LIDERAZGO </t>
  </si>
  <si>
    <t>BASES TÉCNICAS DE LA PLANIFICACIÓN ENERGÉTICA Y EL SEGUIMIENTO DEL DESEMPEÑO ENERGÉTICO DE LAS INSTLACIONES INDUSTRIALES DE LICONSA</t>
  </si>
  <si>
    <t>LEGISLACIÓN AMBIENTAL MEXICANA</t>
  </si>
  <si>
    <t>TALLER INFORMATIVO SOBRE LAS DISPOSICIONES APF 2025</t>
  </si>
  <si>
    <t>LIDERAZGO CONSCIENTE FEMENINO</t>
  </si>
  <si>
    <t>SUPERVICIÓN EFECTIVA Y LIDERAZGO</t>
  </si>
  <si>
    <t>TRABAJO EN EQUIPO</t>
  </si>
  <si>
    <t>ABORDAJE DE TRANSTORNOS POR CONSUMO DE SUSTANCIAS EN EL TERCER NIVEL DE ATENCIÓN CON BASE EN EL NUEVO MODEO MEXICANO</t>
  </si>
  <si>
    <t>SALUD MENTAL PARA TODAS LAS PERSONAS</t>
  </si>
  <si>
    <t>FACTORES DE RIESGO EN ADICCIONES, EL MALTRATO ESCOLAR Y CIBERACOSO</t>
  </si>
  <si>
    <t>HERRAMIENTAS PARA LA PREVENCIÓN DEL CONSUMO DE CANNABIS Y SUS NUEVOS DERIVADOS (VAPEADORES)</t>
  </si>
  <si>
    <t>CRIANZA POSITIVA</t>
  </si>
  <si>
    <t>ATENCIÓN SOCIOSANITARIA DE LAS PERSONAS MAYORES EN EL DOMICILIO, (FORTALECIMIENTO DE LAS COMPETENCIAS EN EL PERSONAL DE ENFERMERÍA)</t>
  </si>
  <si>
    <t>DOCUMENTACIÓN DEL SISTEMA DE GESTIÓN DE LA CALIDAD ISO 9001: 2015</t>
  </si>
  <si>
    <t>SISTEMA DE GESTIÓN DE LA CALIDAD MULTISITIOS Y LABORATORIOS SUCURSALES</t>
  </si>
  <si>
    <t>LA COMISIÓN NACIONAL DE LOS DERECHOS HUMANOS</t>
  </si>
  <si>
    <t>LENGUAJE CIUDADANO</t>
  </si>
  <si>
    <t>ASPECTOS GENERALES DE DERECHOS HUMANOS</t>
  </si>
  <si>
    <t>HOMBRES CONTRA LA VIOLENCIA HACIA LAS MUJERES, NIÑAS Y NIÑOS. MASCULINIDADES ALTERNATIVAS</t>
  </si>
  <si>
    <t>NOM-251-SSA1-2009</t>
  </si>
  <si>
    <t>DECLARATORIAS DE INTENCIÓN</t>
  </si>
  <si>
    <t>REHABILITACIÒN PARA PERSONAS POST COVID-19</t>
  </si>
  <si>
    <t xml:space="preserve">BIENESTAR PSICOSOCIAL EN EL AMBIENTE LABORAL Y NUEVA NORMALIDAD </t>
  </si>
  <si>
    <t>PREVENCIÒN Y ATENCIÒN DE LA VIOLENCIA FAMILIAR Y SEXUAL CONTRA LAS MUJERES</t>
  </si>
  <si>
    <t>LOS VICIOS QUE AFECTAN LA EXPRESÒN ORAL Y ESCRITA</t>
  </si>
  <si>
    <t>INTRODUCCIÓN A LA ADMINISTRACIÓN PÚBLICA FEDERAL</t>
  </si>
  <si>
    <t>MASCULINIDADES ALTERNATIVAS LIBRES DE VIOLENCIA</t>
  </si>
  <si>
    <t>CONSEJOS PARA EL CUIDADO DE TU ESPALDA</t>
  </si>
  <si>
    <t xml:space="preserve">AYUNO INTERMITENTE: CUIDADO DE LA SALUD Y DEL PESO CORPORAL </t>
  </si>
  <si>
    <t>MI PROYECTO DE VIDA A LA MEDIDA</t>
  </si>
  <si>
    <t>CURSO DE INDUCCION AL SGC-MLS Y DECLARATORIAS DE INTENCIÓN</t>
  </si>
  <si>
    <t>EL BEBÉ ANTES DE NACER</t>
  </si>
  <si>
    <t>PREVENCIÓN DE LA TORTURA</t>
  </si>
  <si>
    <t>PREVENCIÓN DE LAS ENFERMEDADES RELACIONADAS CON LA SALUD MENTAL EN EL TRABAJO</t>
  </si>
  <si>
    <t>PREPARACIÓN PARA EL RETIRO LABORAL</t>
  </si>
  <si>
    <t>IDENTIFICACIÓN DEL BURNOUT O AGOTAMIENTO LABORAL</t>
  </si>
  <si>
    <t>LA EMPRESA BAJO EL ENFOQUE DE LOS DERECHOS HUMANOS</t>
  </si>
  <si>
    <t>SALUD BUCAL EN DIABETES</t>
  </si>
  <si>
    <t>ENVEJECIMIENTO SALUDABLE</t>
  </si>
  <si>
    <t>MEDICACIÓN Y RESOLUCIÓN PACÍFICA DE CONFLICTOS</t>
  </si>
  <si>
    <t>ATENCIÓN A LOS PROBLEMAS POR CONSUMO DE SUSTANCIAS PSICOACTIVAS EN LOS SERVICIOS DE URGENCIAS Y CONSULTA EXTERNA DEL SEGUNDO NIVEL</t>
  </si>
  <si>
    <t>EL DESAFÍO DE LAS NUEVAS SUSTANCIAS PSICOACTIVAS. PROTECCIÓN DE LA POBLACIÓN JOVEN EN SUS ENTORNOS ESCOLARES Y COMUNITARIOS</t>
  </si>
  <si>
    <t xml:space="preserve">EXCEL </t>
  </si>
  <si>
    <t>PROGRAMA DE PROTECCIÓN CIVIL</t>
  </si>
  <si>
    <t>SALUD EN EL TRABAJO</t>
  </si>
  <si>
    <t>JUGAMOS TODOS: ACTÍVATE Y DIVIÉRTETE EN CASA</t>
  </si>
  <si>
    <t xml:space="preserve">DIVERSIDAD Y DERECHOS LINGÜÍSTICOS DE LOS PUEBLOS INDÍGENAS DE MÉXICO </t>
  </si>
  <si>
    <t>CURSO DE FORMACIÓN INICIAL PARA PERSONAS CUIDADORAS DE PERSONAS MAYORES</t>
  </si>
  <si>
    <t>ÉTICA E INTEGRIDAD PÚBLICA PARA UN BUEN GOBIERNO</t>
  </si>
  <si>
    <t>NORMAS OFICIALES MEXICANAS DE LA SECRETARÍA DE TRABAJO Y PREVISIÓN SOCIAL (STPS)</t>
  </si>
  <si>
    <t>PRIMEROS AUXILIOS</t>
  </si>
  <si>
    <t>PRESENCAL</t>
  </si>
  <si>
    <t>MANEJO DE HOJAS DE CÁLCULO BÁSICO I</t>
  </si>
  <si>
    <t xml:space="preserve">ÉTICA Y FELICIDAD </t>
  </si>
  <si>
    <t>APROVECHA AL MÁXIMO TUS DISPOSITIVOS MÓVILES</t>
  </si>
  <si>
    <t>SALUDABLEMENTE</t>
  </si>
  <si>
    <t>MANEJO DE UCI EN PACIENTES CON COVID-19</t>
  </si>
  <si>
    <t xml:space="preserve">COMO APROVECHAR LAS HERRAMIENTAS GRATUITAS DE GOOGLE </t>
  </si>
  <si>
    <t xml:space="preserve">ESTRATEGIA EN EL AULA: PREVENCIÓN DE ADICCIONES. GUÍA PARA DOCENTES </t>
  </si>
  <si>
    <t>CURADOR DE DATOS</t>
  </si>
  <si>
    <t>CÁNCER DE PRÓSTATA: INFORMARSE Y DECIDIR TAMBIÉN ES DE HOMBRES</t>
  </si>
  <si>
    <t>CÓMPUTO BÁSICO</t>
  </si>
  <si>
    <t>ACTIVIDAD FÍSICA: RETORNO SEGURO</t>
  </si>
  <si>
    <t>HABLEMOS DE SUSTANCIAS PSICOACTIVAS</t>
  </si>
  <si>
    <t>TODOS POR UNA MOVILIDAD SEGURA</t>
  </si>
  <si>
    <t>ACOSO ESCOLAR, VIOLENCIA ESCOLAR EN LA ESCUELA</t>
  </si>
  <si>
    <t>¿CÓMO CONTROLAR MI ESTRÉS? ATENCIÓN A TRANSTORNOS DE ANSIEDAD</t>
  </si>
  <si>
    <t>LA EPILEPSIA EN LA NIÑEZ, ¿UNA ENFERMEDAD RARA?</t>
  </si>
  <si>
    <t>ESTILO DE VIDA Y DIABETES</t>
  </si>
  <si>
    <t>PRIMERA AYUDA PSICOLÓGICA (PAP)</t>
  </si>
  <si>
    <t>CRITERIOS DE APLICACIÓN PARA EL DESARROLLO DE AUDITORÍAS INTERNAS DE GESTIÓN DE LA CALIDAD DE LICONSA</t>
  </si>
  <si>
    <t>PROMOTORES DE AMBIENTES LABORALES SALUDABLES</t>
  </si>
  <si>
    <t>EL SERVICIO PÚBLICO, SERVIR MEJOR A LA SOCIEDAD</t>
  </si>
  <si>
    <t>ABC DE ABORDAJE DEL CONSUMO DE SUSTANCIAS PSICOACTIVAS EN PRIMER NIVEL DE ATENCIÓN EN MÉXICO</t>
  </si>
  <si>
    <t>VIRUELA SÍMICA</t>
  </si>
  <si>
    <t xml:space="preserve">MÓDULO 1. EL PAPEL DE LAS GUARDERÍAS EN EL DESARROLLO INTEGRAL INFANTIL </t>
  </si>
  <si>
    <t>HERRAMIENTAS BÁSICAS DE MICROSOFT OFFICE 2010. EXCEL</t>
  </si>
  <si>
    <t>HERRAMIENTAS BÁSICAS DE MICROSOFT OFFICE 2010. WORD</t>
  </si>
  <si>
    <t>EL PODER ESTÁ DENTRO DE TI</t>
  </si>
  <si>
    <t>POSTURA DE PREVENCIÓN ANTE EL EMBARAZO ADOLESCENTE</t>
  </si>
  <si>
    <t>GASTRONOMÍA MEXICANA: MITOS, TRADICIONES Y FESTEJOS</t>
  </si>
  <si>
    <t>CLIMATERIO Y MENOPAUSIA: FOMENTANDO EL AUTOCONOCIMIENTO EN LA DIVERSIDAD</t>
  </si>
  <si>
    <t>DECISIÓN SIN ADICCIÓN</t>
  </si>
  <si>
    <t>COMPLICACIONES MÁS COMUNES EN LA DIABETES</t>
  </si>
  <si>
    <t>ACTIVIDADES CULTURALES: RETORNO SEGURO</t>
  </si>
  <si>
    <t>CONOCIENDO EL CICSLM</t>
  </si>
  <si>
    <t xml:space="preserve">CUIDADO DE LOS RIÑONES. EVITA LA ENFERMEDAD RENAL CRÓNICA </t>
  </si>
  <si>
    <t>PREVENCIÓN Y ATENCIÓN DEL ACOSO Y HOSTIGAMIENTO SEXUAL EN EL ÁMBITO LABORAL</t>
  </si>
  <si>
    <t>CUIDADO DE LA SALUD MENTAL EN SITUACIONES DE EMERGENCIA</t>
  </si>
  <si>
    <t>ENFOQUE DE DERECHOS HUMANOS EN EL SERVICIO PÚBLICO</t>
  </si>
  <si>
    <t>PREVENCIÓN Y ATENCIÓN DE LA VIOLENCIA FAMILIAR Y SEXUAL CONTRA LAS MUJERES</t>
  </si>
  <si>
    <t>AMENAZAS DIGITALES Y SEGURIDAD DE LA INFORMACIÓN</t>
  </si>
  <si>
    <t>AUTOCUIDADO DE LOS PIES EN PERSONAS CON DIABETES</t>
  </si>
  <si>
    <t>CONSEJOS ÚTILES PARA MADRES, PADRES Y CUIDADORES</t>
  </si>
  <si>
    <t>AUTOCUIDADO: IMPORTANCIA DEL CUMPLIMIENTO AL TRATAMIENTO MÉDICO</t>
  </si>
  <si>
    <t>GESTIÓN DOCUMENTAL EN LA ADMINISTRACIÓN PÚBLICA FEDERAL</t>
  </si>
  <si>
    <t>MEJORA DEL CLIMA ORGANIZACIONAL EN LA ADMINISTRACIÓN PÚBLICA FEDERAL</t>
  </si>
  <si>
    <t>USO DEL LENGUAJE INCLUYENTE Y NO SEXISTA: RECOMENDACIONES BÁSICAS</t>
  </si>
  <si>
    <t>CUMPLIMIENTO DE LO PLANES Y PROGRAMAS DE CAPACITACIÓN Y ADIESTRAMIENTO</t>
  </si>
  <si>
    <t>PREVENCIÓN Y DETECCIÓN OPORTUNA DEL MALTRATO INFANTIL</t>
  </si>
  <si>
    <t>PROCEDIMIENTO GENÉRICO ACCIONES PARA ABORDAR RIESGOS Y OPORTUNIDADES</t>
  </si>
  <si>
    <t>BITÁCORA ELECTRÓNICA DE SEGUIMIENTO DE ADQUISICIONES (BESA)</t>
  </si>
  <si>
    <t>PROCEDIMIENTO GENÉRICO CONTROL DE LA INFORMACIÓN DOCUMENTADA</t>
  </si>
  <si>
    <t>DECLARATORIAS DE INTENCIÓN DE LA ALTA DIRECCIÓN DEL SGCMLS 2025</t>
  </si>
  <si>
    <t>REPORTE PERSONALIZADO DE COTIZACIÓN EN EL IMSS</t>
  </si>
  <si>
    <t>CONTROL DE LA EXPOSICIÓN AL PLOMO</t>
  </si>
  <si>
    <t>INTEGRIDAD, ÉTICA Y PREVENCIÓN DE RIESGOS</t>
  </si>
  <si>
    <t>CUIDADO DE PERSONAS QUE CUIDAN</t>
  </si>
  <si>
    <t>LACTANCIA MATERNA EN EMERGENCIAS</t>
  </si>
  <si>
    <t>COMUNICACIÓN ASERTIVA EN EL ÁMBITO DEL SERVICIO PÚBLICO</t>
  </si>
  <si>
    <t>LIDERAZGO Y MOTIVACIÓN PARA DIRECTIVOS EN EL SECTOR PÚBLICO</t>
  </si>
  <si>
    <t>CURSO INTENSIVO DE PRUEBAS NEUROPSICOLÓGICAS</t>
  </si>
  <si>
    <t>REDESCUBRIENDO AL IMSS</t>
  </si>
  <si>
    <t>NÓMINA</t>
  </si>
  <si>
    <t>NOMBRE</t>
  </si>
  <si>
    <t xml:space="preserve">CURP </t>
  </si>
  <si>
    <t>MÉDICO</t>
  </si>
  <si>
    <t xml:space="preserve">GUADARRAMA FERNANDEZ DE LARA SALVADOR </t>
  </si>
  <si>
    <t>ANALISTA DE PROYECTO F</t>
  </si>
  <si>
    <t xml:space="preserve">CRUZ MANRIQUEZ JULIO MAXIMILIANO </t>
  </si>
  <si>
    <t>CONTROL DE CALIDAD</t>
  </si>
  <si>
    <t xml:space="preserve">ROJAS BERMUDEZ CLARA ISABEL </t>
  </si>
  <si>
    <t xml:space="preserve">PÉREZ CORONA JESÚS MANUEL </t>
  </si>
  <si>
    <t>HERRIANDE ALDANA MAXIMINA</t>
  </si>
  <si>
    <t xml:space="preserve">CISNEROS FLORES GABRIEL </t>
  </si>
  <si>
    <t xml:space="preserve">ORTEGA ACEBEDO BRAULIO </t>
  </si>
  <si>
    <t xml:space="preserve">MALDONADO FLORES ISAAC RAUL </t>
  </si>
  <si>
    <t>AUXILIAR PROYECTO "E"</t>
  </si>
  <si>
    <t>LOPEZ PADILLA ILSE JOCELYN</t>
  </si>
  <si>
    <t xml:space="preserve">SUBGERENCIA DE ADMINISTRACIÓN Y FINANZAS </t>
  </si>
  <si>
    <t xml:space="preserve">TAVERA VILLALPANDO MANUEL ROBERTO </t>
  </si>
  <si>
    <t xml:space="preserve">PROMOTOR SOCIAL EVENTUAL </t>
  </si>
  <si>
    <t xml:space="preserve">ADMINISTRACIÓN OPERATIVA DEL PADRON DE BENEF </t>
  </si>
  <si>
    <t xml:space="preserve">ANALISTA DE PROYECTO </t>
  </si>
  <si>
    <t>TELLEZ GARCÍA JESUS</t>
  </si>
  <si>
    <t>REC. MATERIALES</t>
  </si>
  <si>
    <t xml:space="preserve">ENCARGADO DE LA GERENCIA </t>
  </si>
  <si>
    <t xml:space="preserve">RAMIREZ NUÑEZ ROMMEL </t>
  </si>
  <si>
    <t xml:space="preserve">GERENCIA </t>
  </si>
  <si>
    <t xml:space="preserve">ANALISTA  </t>
  </si>
  <si>
    <t xml:space="preserve">CALDERON GARDUÑO ANAYELI </t>
  </si>
  <si>
    <t xml:space="preserve">SUPERVISOR </t>
  </si>
  <si>
    <t xml:space="preserve">ROMERO ALVAREZ OSWALDO </t>
  </si>
  <si>
    <t>RAMIREZ CORTAZAR JULIO CESAR</t>
  </si>
  <si>
    <t>¿COMÓ ENTENDER EL PRESUPUESTO? EL GASTO PÚBLICO A TRAVÉS DE LOS DATOS</t>
  </si>
  <si>
    <t xml:space="preserve">EN LÍNEA </t>
  </si>
  <si>
    <t>60 hrs</t>
  </si>
  <si>
    <t>¿POR QUÉ AMAMOS DEMASIADO? PERO DEMASIADO MAL</t>
  </si>
  <si>
    <t>2 hrs</t>
  </si>
  <si>
    <t>5 "S"</t>
  </si>
  <si>
    <t>3 hrs</t>
  </si>
  <si>
    <t>10 hrs</t>
  </si>
  <si>
    <t>ACTIVACIÓN FÍSICA PARA EL PERSONAL QUE INTEGRA LA BRIGADA CONTRA INCENDIOS</t>
  </si>
  <si>
    <t>1 hrs</t>
  </si>
  <si>
    <t>ACTIVACIÓN/PLÁTICA FÍSICA PARA EL PERSONAL QUE INTEGRA LA BRIGADA CONTRA INCENDIOS</t>
  </si>
  <si>
    <t>5 hrs</t>
  </si>
  <si>
    <t>ADICCIONES Y SUS REPERCUCIONES EN EL ENTORNO LABORAL (TRABAJADORES)</t>
  </si>
  <si>
    <t>ADMINISTRACIÓN DE LOS ARCHIVOS DOCUMENTALES DE LICONSA</t>
  </si>
  <si>
    <t>ADMINISTRACIÓN PÚBLICA FEDERAL LIBRE DE VIOLENCIA. COMBATE AL ACOSO SEXUAL Y HOSTIGAMIENTO SEXUAL</t>
  </si>
  <si>
    <t>8 hrs</t>
  </si>
  <si>
    <t>ALIMENTACIÓN, CLAVE PARA EL CONTROL DE LA DIABETES</t>
  </si>
  <si>
    <t>20 hrs</t>
  </si>
  <si>
    <t>AMAR ¿DUELE?</t>
  </si>
  <si>
    <t>30 hrs</t>
  </si>
  <si>
    <t>ATENCIÓN POR CONSUMO DE SUSTANCIAS PSICOACTIVAS: URGENCIAS Y CONSULTA DE 2DO NIVEL</t>
  </si>
  <si>
    <t>AUTOMANEJO DEL ESTRÉS</t>
  </si>
  <si>
    <t>AYUNO INTERMITENTE: CUIDADO DE LA SALUD Y EL PESO CORPORAL</t>
  </si>
  <si>
    <t>BASES PARA EL TRABAJO CON MICROSCOPIO</t>
  </si>
  <si>
    <t>BIENESTAR PSICOSOCIAL EN EL AMBIENTE LABORAL Y NUEVA NORMALIDAD</t>
  </si>
  <si>
    <t>BRIGADA CONTRA INCENDIOS</t>
  </si>
  <si>
    <t>C/COSTO</t>
  </si>
  <si>
    <t>BRIGADA DE EVACUACIÓN</t>
  </si>
  <si>
    <t>BRIGADA DE PRIMEROS AUXILIOS</t>
  </si>
  <si>
    <t xml:space="preserve">BUENAS PRÁCTICAS PARA LA OPERACIÓN DE CALDERAS CON GAS NATURAL </t>
  </si>
  <si>
    <t>CALIDAD DE LAS INTERACCIONES</t>
  </si>
  <si>
    <t>25 hrs</t>
  </si>
  <si>
    <t>CAPACITACIÓN RELACIONES LABORALES</t>
  </si>
  <si>
    <t>CAPACITACIÓN VIRTUAL SIREH</t>
  </si>
  <si>
    <t>CARPINTERÍA BÁSICA</t>
  </si>
  <si>
    <t>CERTIFICACIÓN DE COMPRANET</t>
  </si>
  <si>
    <t>CIBER-ACOSO: LA OTRA CARA DEL INTERNET</t>
  </si>
  <si>
    <t>40 hrs</t>
  </si>
  <si>
    <t>COMPLICACIONES MÁS COMUNES DE LA DIABETES</t>
  </si>
  <si>
    <t xml:space="preserve">COMPRENSIÓN DE LECTURA DEL IDIOMA INGLÉS </t>
  </si>
  <si>
    <t xml:space="preserve">COMUNICACIÓN INCLUYENTE SIN SEXISMO </t>
  </si>
  <si>
    <t>CONCEPTOS BÁSICOS DE PRIMEROS AUXILIOS</t>
  </si>
  <si>
    <t>4 hrs</t>
  </si>
  <si>
    <t>CONDICIONES DE SEGURIDAD PARA EL MANEJO, ALMACENAMIENTO Y TRANSPORTE DE SUSTANCIAS QUÍMICAS PELIGROSAS</t>
  </si>
  <si>
    <t>CONDICIONES DE SEGURIDAD PARA TRABAJOS DE CORTE Y SOLDADURA</t>
  </si>
  <si>
    <t>CONDICIONES DE SEGURIDAD PARA TRABAJOS ELÉCTRICOS</t>
  </si>
  <si>
    <t>CONFIGURACIÓN DE CERTIFICACIÒN DE COMPRANET</t>
  </si>
  <si>
    <t>CONFIGURACIÓN, PUBLICACIÓN Y SEGUIMIENTO DE PROCEDIMIENTOS DE LICITACIÓN PÚBLICA EN COMPRANET</t>
  </si>
  <si>
    <t>CONOCE TODO SOBRE TU SEGURO DE GASTOS MÉDICOS MAYORES</t>
  </si>
  <si>
    <t>CONTROL INTERNO Y MEJORA DE LA GESTIÓN PÚBLICA</t>
  </si>
  <si>
    <t>CUIDANDO TU CORAZÓN, HIPERTENSIÓN</t>
  </si>
  <si>
    <t>CURSO  PARA AUDITORES EN ENTRENAMIENTO EN LA NORMA NOM-251-SSA1-2009</t>
  </si>
  <si>
    <t>12 hrs</t>
  </si>
  <si>
    <t>CURSO BÁSICO DE DERECHOS HUMANOS</t>
  </si>
  <si>
    <t>CURSO DE ANÁLISIS DE TRATAMIENTO DE AGUAS RESIDUALES</t>
  </si>
  <si>
    <t>CURSO DE DIAGNÓSTICO AVANZADO DE FALLAS AUTOMOTRICES</t>
  </si>
  <si>
    <t>15 hrs</t>
  </si>
  <si>
    <t>CURSO DE ESTIMACIÓN DE LA INCERTIDUMBRE PARA LABORATORIOS DE ENSAYO</t>
  </si>
  <si>
    <t>CURSO DE FUNDAMENTOS DE REDES TCP/IP</t>
  </si>
  <si>
    <t>CURSO DE INDUCCIÓN AL SISTEMA DE GESTIÓN DE LA CALIDAD MULTISITIOS Y LABORATORIOS SUCURSALES</t>
  </si>
  <si>
    <t>CURSO DE MANEJO DE OPERACIÓN DE MONTACARGAS</t>
  </si>
  <si>
    <t>CURSO DE POLÍTICAS Y LINEAMIENTOS PARA EL MANEJO DE INVENTARIOS</t>
  </si>
  <si>
    <t>CURSO DE PROGRAMACIÓN NEUROLINGÜISTICA</t>
  </si>
  <si>
    <t>CURSO DE REPARACIÓN DE TRANSMISIÓN MANUAL Y AUTOMÁTICA, DIAGNÓSTICO DE SISTEMAS ELECTROMECÁNICOS, FALLAS DE MOTOR A DIESEL Y GASOLINA</t>
  </si>
  <si>
    <t>CURSO DE SISTEMA DE ANÁLISIS DE PELIGROS Y PUNTOS CRÍTICOS DE CONTROL HACCP</t>
  </si>
  <si>
    <t xml:space="preserve">CURSO LEY FEDERAL DE AUSTERIDAD REPUBLICANA </t>
  </si>
  <si>
    <t>CURSO PARA PADRES: DETECCIÓN Y PREV. DEL CONSUMO DE SUSTANCIAS</t>
  </si>
  <si>
    <t xml:space="preserve">DECISIÓN SIN ADICCIÓN </t>
  </si>
  <si>
    <t>DERECHOS HUMANOS EN EL SERVICIO PÚBLICO</t>
  </si>
  <si>
    <t>DERECHOS HUMANOS Y GÉNERO</t>
  </si>
  <si>
    <t>DERECHOS HUMANOS Y SALUD</t>
  </si>
  <si>
    <t>DESARROLLO ORGANIZACIONAL</t>
  </si>
  <si>
    <t>DETERMINACIÓN DE VITAMINA "A" POR CROMATOGRAFÍA DE LÍQUIDOS DE ALTA RESOLUCIÓN HPLC (FASE REVERSA)</t>
  </si>
  <si>
    <t>DIPLOMADO EN DISEÑO ORGANIZACIONAL</t>
  </si>
  <si>
    <t>315 hrs</t>
  </si>
  <si>
    <t>DIPLOMADO EN EDUCACIÓN FINANCIERA</t>
  </si>
  <si>
    <t>150 hrs</t>
  </si>
  <si>
    <t>DIPLOMADO EN EMBALSAMIENTO</t>
  </si>
  <si>
    <t>120 hrs</t>
  </si>
  <si>
    <t>DIPLOMADO PRESUPUESTO BASADO EN RESULTADOS (13a. EDICIÓN)</t>
  </si>
  <si>
    <t>DIVERSIDAD Y DERECHOS LINGÜISTICOS DE LOS PUEBLOS INDÍGENAS DE MÉXICO</t>
  </si>
  <si>
    <t>ECO 217.01</t>
  </si>
  <si>
    <t>ECO 391.01</t>
  </si>
  <si>
    <t>ECONOMÍA PARA TODOS: CONSUMO RESPONSABLE</t>
  </si>
  <si>
    <t>ELECTRICIDAD INDUSTRIAL BÁSICA</t>
  </si>
  <si>
    <t>ELECTRICIDAD INDUSTRIAL CONTROL Y FUERZA DE ARRANQUE DE MOTORES</t>
  </si>
  <si>
    <t>ELEMENTOS PARA COMBATIR EL COHECHO INTERNACIONAL</t>
  </si>
  <si>
    <t>ENFERMEDADES CARDIOVASCULARES: HÁBITOS SALUDABLES PARA PREVENIR</t>
  </si>
  <si>
    <t>EQUIPO DE HOMOGENEIZACIÓN Y PASTEURIZACIÓN</t>
  </si>
  <si>
    <t>ESGUINSE DE TOBILLO Y MUÑECA</t>
  </si>
  <si>
    <t xml:space="preserve">ESPECTROMETRÍA DE ABSORCIÓN ATÓMICA (DETERMINACIÓN DE HIERRO Y ZINC) </t>
  </si>
  <si>
    <t>ESTILOS DE VIDA Y DIABETES</t>
  </si>
  <si>
    <t>ESTRATEGIA EN EL AULA: PREVENCIÓN DE ADICCIONES. GUÍA PARA DOCENTES</t>
  </si>
  <si>
    <t>ÉTICA EN LA ADMINISTRACIÓN PÚBLICA FEDERAL</t>
  </si>
  <si>
    <t xml:space="preserve">EXCEL PARA CONTADORES </t>
  </si>
  <si>
    <t>EXPLORADORES DE LA POSVERDAD:LITERACIDAD INFORMACIONAL VS. NOTICIAS FALSAS</t>
  </si>
  <si>
    <t>FAMILIAS EN ARMONÍA</t>
  </si>
  <si>
    <t xml:space="preserve">FINANZAS PARA EL HOGAR </t>
  </si>
  <si>
    <t>FINANZAS PERSONALES</t>
  </si>
  <si>
    <t>FUNCIONAMIENTO BÁSICO MILKO SCAN FT2 Y MILKO SCAN FT120</t>
  </si>
  <si>
    <t>FUNDAMENTOS DE LA ESCRITURA</t>
  </si>
  <si>
    <t xml:space="preserve">GESTIÓN DOCUMENTAL EN LA ADMINISTRACIÓN PÚBLICA FEDERAL </t>
  </si>
  <si>
    <t>GESTIÓN INTEGRAL DE RESIDUOS PELIGROSOS</t>
  </si>
  <si>
    <t>GUARDERÍAS, SANO RETORNO</t>
  </si>
  <si>
    <t>HABLEMOS DEL CONSUMO DE SUSTANCIAS PSICOACTIVAS</t>
  </si>
  <si>
    <t>HERRAMIENTAS BÁSICAS DE MICROSOFT OFFICE 2010. POWER POINT</t>
  </si>
  <si>
    <t>HERRAMIENTAS BÁSICAS DE MICROSOFT OFICCE 2010. EXCEL</t>
  </si>
  <si>
    <t>HERRAMIENTAS BÁSICAS DE MICROSOFT OFICCE 2010. WORD</t>
  </si>
  <si>
    <t>HERRAMIENTAS DIGITALES AVANZADAS PARA LA EMPLEABILIDAD</t>
  </si>
  <si>
    <t>HERRAMIENTAS DIGITALES BÁSICAS PARA LA EMPLEABILIDAD</t>
  </si>
  <si>
    <t>HERRAMIENTAS DIGITALES INTERMEDIAS PARA LA EMPLEABILIDAD</t>
  </si>
  <si>
    <t>HOJALATERÍA Y PINTURA</t>
  </si>
  <si>
    <t xml:space="preserve">HOSTIGAMIENTO SEXUAL Y ACOSO SEXUAL </t>
  </si>
  <si>
    <t>IMPLEMENTACIÓN Y USO DEL SISTEMA AUTOMATIZADO DE GESTIÓN Y CONTROL DOCUMENTAL DE ARCHIVO DE LICONSA (SAR) 2023</t>
  </si>
  <si>
    <t>INDUCCIÓN A LA PERSPECTIVA DE GÉNERO EN LA ADMINISTRACIÓN PÚBLICA FEDERAL</t>
  </si>
  <si>
    <t>INDUCCIÓN EN SEGURIDAD Y HIGIENE</t>
  </si>
  <si>
    <t>INTRODUCCIÓN AL CONTROL INTERNO EN LA ADMINISTRACIÓN PÚBLICA</t>
  </si>
  <si>
    <t>LA INTEGRIDAD EN EL SERVICIO PÚBLICO "TRANSFORMANDO A LOS COMITÉS DE ÉTICA EN LA ADMINISTRACIÓN PÚBLICA FEDERAL"</t>
  </si>
  <si>
    <t>LA INTELIGENCIA EMOCIONAL</t>
  </si>
  <si>
    <t>LAS HERIDAS DE LA INFANCIA QUE NOS IMPIDEN UNA CALIDAD DE VIDA</t>
  </si>
  <si>
    <t>LEGISLACIÓN AMBIENTAL</t>
  </si>
  <si>
    <t>LEY FEDERAL DE AUTERIDAD REPUBLICANA</t>
  </si>
  <si>
    <t>LIBERTAD DE EXPRESIÓN</t>
  </si>
  <si>
    <t xml:space="preserve">LIDERAZGO: CLAVES PARA VISIBILIZAR TU TALENTO </t>
  </si>
  <si>
    <t>MANEJO DE RESIDUOS PELIGROSOS</t>
  </si>
  <si>
    <t>MÁS BIENESTAR</t>
  </si>
  <si>
    <t xml:space="preserve">MASCULINIDADES MODELOS PARA TRANSFORMAR </t>
  </si>
  <si>
    <t>METODOLOGÍA 5S</t>
  </si>
  <si>
    <t xml:space="preserve">METODOLOGÍA DE RIESGOS </t>
  </si>
  <si>
    <t>MODULO 1. EL PAPEL DE LAS GUARDERÍAS EN EL DESARROLLO INTEGRAL INFANTIL</t>
  </si>
  <si>
    <t>MÓDULO I "NOCIONES GENERALES DE LA ADMINISTRACIÓN PÚBLICA "</t>
  </si>
  <si>
    <t>MÓDULO I "PLAN DE FORMACIÓN PROFESIONAL DE LA ADMINISTRACIÓN PÚBLICA "</t>
  </si>
  <si>
    <t>MONITORES PARA ENTORNOS LABORALES SEGUROS Y SALUDABLES</t>
  </si>
  <si>
    <t>NEUMÁTICA</t>
  </si>
  <si>
    <t>NORMA 251-SSA1-2009</t>
  </si>
  <si>
    <t>ORTOGRAFÍA PARA PRINCIPIANTES</t>
  </si>
  <si>
    <t>ORTOGRAFÍA Y REDACCIÓN</t>
  </si>
  <si>
    <t>9 hrs</t>
  </si>
  <si>
    <t>PAILERIA</t>
  </si>
  <si>
    <t>PERSONAS CUIDADORAS DE POBLACIÓN ADULTA MAYOR</t>
  </si>
  <si>
    <t>PLANEACIÓN DE ACCIONES PEDAGÓGICAS EN GUARDERÍAS DEL IMSS</t>
  </si>
  <si>
    <t>PLÁTICA DE INDUCCIÓN A LA NOM 251-SSA1-2009</t>
  </si>
  <si>
    <t xml:space="preserve">PLÁTICA DE SEGURIDAD E HIGIENE INDUSTRIAL </t>
  </si>
  <si>
    <t>PLÁTICA-PRÁCTICA SOBRE "PROGRAMA DE PROTECCIÓN CIVIL, PREVENCIÓN DE INCENDIOS, MANEJO DE EXTINTORES"</t>
  </si>
  <si>
    <t xml:space="preserve">PREPARACIÓN PARA EL RETIRO LABORAL </t>
  </si>
  <si>
    <t>PREV. DE ENFERMEDADES RELACIONADAS CON LA SALUD MENTAL EN EL TRABAJO</t>
  </si>
  <si>
    <t>PREVENCIÓN DEL ACOSO Y DEL ABUSO SEXUAL INFANTIL: PINTA TU RAYA ASÍ</t>
  </si>
  <si>
    <t>PREVENCIÓN Y CONTROL DEL CÁNCER DE MAMA</t>
  </si>
  <si>
    <t>PROCEDIMIENTO ADMINISTRATIVO DE SANCIÓN</t>
  </si>
  <si>
    <t>PROCEDIMIENTO PARA LA DETERMINACIÓN DE RESPONSABILIDADES ADMINISTRATIVAS A SERVIDORES PÚBLICOS</t>
  </si>
  <si>
    <t>PROCEDIMIENTOS GENÉRICOS DEL SISTEMA DE GESTIÓN DE LA CALIDAD MULTISITIOS Y LABORATORIOS SUCURSALES</t>
  </si>
  <si>
    <t>PROCEDIMIENTOS PARA ABORDAR RIESGOS Y OPORTUNIDADES</t>
  </si>
  <si>
    <t>PROMOTORES DE AMBIENTES LABORABLES SALUDABLES</t>
  </si>
  <si>
    <t>RECIPIENTES SUJETOS A PRESIÓN, RECIPIENTES CRIOGÉNICOS, GENERADORES DE VAPOR Y CALDERAS</t>
  </si>
  <si>
    <t>RECONOCIMIENTO DE COVID-19 COMO ENFERMEDAD DE TRABAJO</t>
  </si>
  <si>
    <t>RECURSOS HUMANOS</t>
  </si>
  <si>
    <t>96 hrs</t>
  </si>
  <si>
    <t>REHABILITACIÓN PARA PERSONAS POST COVID-19</t>
  </si>
  <si>
    <t>SALUD MENTAL Y BIENESTAR EN LAS ESCUELAS, EN LA NUEVA NORMALIDAD</t>
  </si>
  <si>
    <t>SALUD SEXUAL Y REPRODUCTIVA, PREVECIÓN DEL EMBARAZO EN ADOLECENTES</t>
  </si>
  <si>
    <t xml:space="preserve">SERVIDORAS Y SERVIDORES PÚBLICOS EN MATERIA DE PREVENCIÓN, DELITOS ELECTORALES Y RESPONSABILIDADES ADMINISTRATIVAS </t>
  </si>
  <si>
    <t>SISTEMA DE CIUDADANOS ALERTADORES INTERNOS Y EXTERNOS DE LA CORRUPCIÓN</t>
  </si>
  <si>
    <t>SISTEMA DE REGISTRO DE LA CAPACITACIÓN EMPRESARIAL (SIRCE)</t>
  </si>
  <si>
    <t>SISTEMA INTEGRAL DE CAPACITACIÓN EN DISPENSACIÓN</t>
  </si>
  <si>
    <t>SOLDADURA BÁSICA</t>
  </si>
  <si>
    <t>24 hrs</t>
  </si>
  <si>
    <t>SOLDADURA ELÉCTRICA</t>
  </si>
  <si>
    <t>TALLER DE FORMACIÓN DE AUDITORES INTERNOS</t>
  </si>
  <si>
    <t>6 hrs</t>
  </si>
  <si>
    <t>TÉCNICAS DE IMPERMEABILIZAR</t>
  </si>
  <si>
    <t>TÉCNICAS PARA EL TRABAJO EN EQUIPO</t>
  </si>
  <si>
    <t>TOMANDO LAS RIENDAS DE TU EMBARAZO</t>
  </si>
  <si>
    <t>TRABAJOS EN ESPACIOS CONFINADOS</t>
  </si>
  <si>
    <t xml:space="preserve">TRATAMIENTO DE AGUAS RESIDUALES </t>
  </si>
  <si>
    <t>13 hrs</t>
  </si>
  <si>
    <t>TRATAMIENTO DE AGUAS RESIDUALES POR SISTEMA AERÓBIO</t>
  </si>
  <si>
    <t>TRAZABILIDAD METROLÓGICA</t>
  </si>
  <si>
    <t>UNO, DOS, TRES…, POR LOS DERECHOS HUMANOS</t>
  </si>
  <si>
    <t>USO Y MANEJO DEL MÓDULO DE FORMALIZACIÓN DE INSTRUMENTOS JURÍDICOS</t>
  </si>
  <si>
    <t xml:space="preserve">VIDA LIBRE DE VIOLENCIA </t>
  </si>
  <si>
    <t>VIGILANCIA DE LA SALUD EN EL TRABAJO</t>
  </si>
  <si>
    <t>VIRUELA SÍSMICA</t>
  </si>
  <si>
    <t>YO DECIDO: MI SEXUALIDAD, MIS DECISIONES RESPONSABLES</t>
  </si>
  <si>
    <t>80181</t>
  </si>
  <si>
    <t>DOMÍNGUEZ SANCHEZ JESÚS</t>
  </si>
  <si>
    <t>DOSJ520304HTSMNS08</t>
  </si>
  <si>
    <t>206275</t>
  </si>
  <si>
    <t>MAGAÑA MADIEDO EMMANUEL</t>
  </si>
  <si>
    <t>MAME990722HMCGDM06</t>
  </si>
  <si>
    <t>RAMOS OLIVARES MARIA DEL SOCORRO</t>
  </si>
  <si>
    <t>RAOS620418MHGMLC04</t>
  </si>
  <si>
    <t>F</t>
  </si>
  <si>
    <t>PADILLA CONTRERAS JENNIFER</t>
  </si>
  <si>
    <t>PACJ910310MMCDNN05</t>
  </si>
  <si>
    <t>AUXILIAR PROYECTO E</t>
  </si>
  <si>
    <t>62016</t>
  </si>
  <si>
    <t>LOPI960114MDFPDL08</t>
  </si>
  <si>
    <t>RIVERA ORDOÑEZ JOSÉ ROBERTO</t>
  </si>
  <si>
    <t>RIOR611005HGRVRB05</t>
  </si>
  <si>
    <t>CRUZ MANRIQUEZ JULIO MAXIMILIANO</t>
  </si>
  <si>
    <t>OPERADOR DE SERVICIOS B</t>
  </si>
  <si>
    <t>62024</t>
  </si>
  <si>
    <t>SUÁREZ SUÁREZ ANGELES ELIZABETH</t>
  </si>
  <si>
    <t>SUSA960917MVZRRN04</t>
  </si>
  <si>
    <t>ALVAREZ TOSTADO HERNÁNDEZ JESSICA MICHEL</t>
  </si>
  <si>
    <t>AAHJ960519MDFLRS02</t>
  </si>
  <si>
    <t>MECANICO DIESEL</t>
  </si>
  <si>
    <t>LÓPEZ RUBIO ENRIQUE</t>
  </si>
  <si>
    <t>LORE601113HDFPBN05</t>
  </si>
  <si>
    <t>MIRANDA ALCÁNTARA DANIELA KARINA</t>
  </si>
  <si>
    <t>ADMINISTRACIÓN OPERATIVA DEL PADRON</t>
  </si>
  <si>
    <t>HERNÁNDEZ MENDEZ MARIA ISABEL</t>
  </si>
  <si>
    <t>HEMI720223MOCRNS09</t>
  </si>
  <si>
    <t>SÀNCHEZ ARELLANO PABLO</t>
  </si>
  <si>
    <t xml:space="preserve">COORDINACIÓN ACTUALIZACIÓN DEL PADRON </t>
  </si>
  <si>
    <t>SAAP950220HMCNRB03</t>
  </si>
  <si>
    <t>CORDINADORA</t>
  </si>
  <si>
    <t>20548</t>
  </si>
  <si>
    <t>CORDINADORA PADRÓN</t>
  </si>
  <si>
    <t>PACHECO MORALES JULIO CESAR</t>
  </si>
  <si>
    <t>PAMJ850601HMCCRL06</t>
  </si>
  <si>
    <t>MIRANDA VICENTE GREYCE IVVANOVA</t>
  </si>
  <si>
    <t>COORDINACIÓN TLALNEPANTLA SECTOR I</t>
  </si>
  <si>
    <t>MIVG881227MDFRCR12</t>
  </si>
  <si>
    <t>NUÑEZ HERNÁNDEZ MIRNA IRAIS</t>
  </si>
  <si>
    <t>NUHM591120MDFXRR04</t>
  </si>
  <si>
    <t>20440</t>
  </si>
  <si>
    <t>MEJIA GARCÍA FRANCISCO</t>
  </si>
  <si>
    <t>COORDINACIÓN TLALNEPANTLA DECTOR I</t>
  </si>
  <si>
    <t>HERNÁNDEZ LOYOLA JORGE</t>
  </si>
  <si>
    <t>COORDINACIÓN TLALNEPANTLA SECTOR II</t>
  </si>
  <si>
    <t>HELJ540423HOCRYR05</t>
  </si>
  <si>
    <t>FLORES CAMPOS CARLOS JAIME</t>
  </si>
  <si>
    <t>FOCC550411HDFLMR01</t>
  </si>
  <si>
    <t>LÓPEZ SÁNCHEZ DORA GUADALUPE</t>
  </si>
  <si>
    <t>COORDINACIÓN TLALNEPANTLA SECTOR III</t>
  </si>
  <si>
    <t>LOSD571211MDFPNR01</t>
  </si>
  <si>
    <t>ANAYA VAZQUEZ CESAR</t>
  </si>
  <si>
    <t>AAVC751104HDFNZS03</t>
  </si>
  <si>
    <t>VAZQUEZ NAVARRO JUAN CARLOS</t>
  </si>
  <si>
    <t>VANJ700120HDFZVN08</t>
  </si>
  <si>
    <t>LÓPEZ HERNÁNDEZ LAZARO</t>
  </si>
  <si>
    <t>COORDINACIÓN DE ATENCIÓN A TRANSPORTISTAS Y CONC.</t>
  </si>
  <si>
    <t>LOHL820504HCSPRZ07</t>
  </si>
  <si>
    <t>HERNÁNDEZ MENDOZA JOSÉ GUADALUPE</t>
  </si>
  <si>
    <t>HEMG650228HMCRND08</t>
  </si>
  <si>
    <t>VITAL LAZARO ARTURO</t>
  </si>
  <si>
    <t>COORDINACIÓN DISTRIBUCIÓN SECTOR I</t>
  </si>
  <si>
    <t>VILA571215HMSTZR00</t>
  </si>
  <si>
    <t>SUPERVISOR DE CONTROL DE PARQUE VEHICULAR</t>
  </si>
  <si>
    <t>GARCÍA PARRALES JOSÉ DE JESUS</t>
  </si>
  <si>
    <t>GAPJ540513HDFRRS01</t>
  </si>
  <si>
    <t>DE LA ROSA ALEGRIA FLORENCIO</t>
  </si>
  <si>
    <t>COORDINACIÓN DE MANTENIMIENTO CIVIL REGIÓN I</t>
  </si>
  <si>
    <t>ROAF611029 HOCSLL01</t>
  </si>
  <si>
    <t>PÉREZ HERNÁNDEZ JOSÉ GUADALUPE</t>
  </si>
  <si>
    <t>PEHG661209 HMCRRD02</t>
  </si>
  <si>
    <t>PRIETO OSORNIO ALEJANDRO</t>
  </si>
  <si>
    <t>PIOA590221HDFRSL02</t>
  </si>
  <si>
    <t>MONTALVO VAZQUEZ CARLOS</t>
  </si>
  <si>
    <t>MOVC671207HMNNZR04</t>
  </si>
  <si>
    <t>MARTÍNEZ MORALES LORENZO</t>
  </si>
  <si>
    <t>COORDINACIÓN DE MANTENIMIENTO CIVIL REGIÓN II</t>
  </si>
  <si>
    <t>MAML600722HMCRRR00</t>
  </si>
  <si>
    <t>DELGADO ORTEGA GERARDO</t>
  </si>
  <si>
    <t>DEOG810414HDFLRR05</t>
  </si>
  <si>
    <t>CASTILLO FLORES RUBÉN DARÍO</t>
  </si>
  <si>
    <t>CAFR650120HDFSLB05</t>
  </si>
  <si>
    <t>EMBOBINADOR</t>
  </si>
  <si>
    <t>GARCÍA JÍMENEZ OSCAR</t>
  </si>
  <si>
    <t>GAJO630310HDFRMS05</t>
  </si>
  <si>
    <t>VICTORIA ZEPEDA JUAN MANUEL</t>
  </si>
  <si>
    <t>VIZJ791109HMCCPN11</t>
  </si>
  <si>
    <t>SUBGERENTE DE PRODUCCIÓN</t>
  </si>
  <si>
    <t>ACEVES NAVARRO EVA LAURA</t>
  </si>
  <si>
    <t>SUB. DE PRODUCCIÓN</t>
  </si>
  <si>
    <t>AEVE550924MDFCVV03</t>
  </si>
  <si>
    <t>NAVARRO ROJAS JOSÉ ARTURO</t>
  </si>
  <si>
    <t>NARA730208HDFVJR00</t>
  </si>
  <si>
    <t>ARCE CHÁVEZ ENRIQUE</t>
  </si>
  <si>
    <t>AECE620130HDFRHN13</t>
  </si>
  <si>
    <t>DE LOS SANTOS GONZÁLEZ JOSÉ LUIS</t>
  </si>
  <si>
    <t>SAGL850318HMCNNS09</t>
  </si>
  <si>
    <t>PADRÓN VAZQUEZ  JORGE MANUEL</t>
  </si>
  <si>
    <t>PAVJ810816HDFDZR08</t>
  </si>
  <si>
    <t>MECÁNICO SUSPENSIÓN</t>
  </si>
  <si>
    <t>TREJO CORREA RENE</t>
  </si>
  <si>
    <t>TECR920715HDFRRN08</t>
  </si>
  <si>
    <t>HOJALATERIA Y PINTURA</t>
  </si>
  <si>
    <t>GONZÁLEZ REYES IVAN</t>
  </si>
  <si>
    <t>GORI811230HDFNYV02</t>
  </si>
  <si>
    <t>DURAN GÓMEZ LEONARDO</t>
  </si>
  <si>
    <t>DUGL581015HVZRMN04</t>
  </si>
  <si>
    <t>TETELPA CARIÑO TEODULO</t>
  </si>
  <si>
    <t>TECT630217HVZTRD05</t>
  </si>
  <si>
    <t>3977</t>
  </si>
  <si>
    <t>CIFG920405HMCSLB03</t>
  </si>
  <si>
    <t>3995</t>
  </si>
  <si>
    <t>DURAN RODRÍGUEZ ANDRES ARIEL</t>
  </si>
  <si>
    <t>DURA031227HDFRDNA7</t>
  </si>
  <si>
    <t>1996</t>
  </si>
  <si>
    <t>ENSALDO SEGURA HERIBERTO</t>
  </si>
  <si>
    <t>EASH730810HDFNGR04</t>
  </si>
  <si>
    <t>RAMÍREZ SÁNCHEZ ANTONIO</t>
  </si>
  <si>
    <t>RASA611107HHGMNN09</t>
  </si>
  <si>
    <t>FLORENCIO BARRERA OSCAR IVÁN</t>
  </si>
  <si>
    <t>FOBO000703HMCLRSA4</t>
  </si>
  <si>
    <t>GARCÍA TEJERA ISRAEL</t>
  </si>
  <si>
    <t>CEBALLOS NAVARRETE ARTURO</t>
  </si>
  <si>
    <t>CENA620317HMSBVR01</t>
  </si>
  <si>
    <t>PÉREZ SAENZ HERMENEGILDO</t>
  </si>
  <si>
    <t>UASL650311HMCGLS09</t>
  </si>
  <si>
    <t>PINEDA LÓPEZ JULIAN GUADALUPE</t>
  </si>
  <si>
    <t>PILJ710109HDFNPL03</t>
  </si>
  <si>
    <t>CALVA ESCAMILLA LORENZO EDUARDO</t>
  </si>
  <si>
    <t>CAEL620810HPLLSR08</t>
  </si>
  <si>
    <t>GONZÁLEZ RODRÍGUEZ MARIA DE JESUS</t>
  </si>
  <si>
    <t>SUB. DE ADMINISTRACIÓN Y FINANZAS</t>
  </si>
  <si>
    <t>GORJ631030MDFNDS16</t>
  </si>
  <si>
    <t>62017</t>
  </si>
  <si>
    <t>TAVM860509HDFVLN02</t>
  </si>
  <si>
    <t>PINEDA PINEDA JAVIER</t>
  </si>
  <si>
    <t>PIPJ660806HGRNNV02</t>
  </si>
  <si>
    <t>MÈDICO</t>
  </si>
  <si>
    <t>206263</t>
  </si>
  <si>
    <t>GUADARRAMA FERNANDEZ DE LARA SALVADOR</t>
  </si>
  <si>
    <t>GUFS920728HDFDRL02</t>
  </si>
  <si>
    <t>206274</t>
  </si>
  <si>
    <t>ROAO920520HMCMLS06</t>
  </si>
  <si>
    <t>206276</t>
  </si>
  <si>
    <t xml:space="preserve">DIAZ RODRIGUEZ  MARIA FERNANDA </t>
  </si>
  <si>
    <t>DIRF880325MDFZDR00</t>
  </si>
  <si>
    <t>ANALISTA DE PROYECTO E</t>
  </si>
  <si>
    <t>62022</t>
  </si>
  <si>
    <t>HURTADO GARCIA JOSE ALFREDO</t>
  </si>
  <si>
    <t>HUGA670522HDFRRL01</t>
  </si>
  <si>
    <t>CUEVAS IZQUIERDO MAURICIO</t>
  </si>
  <si>
    <t xml:space="preserve">COORDINACIÓN SEGURIDAD E HIGIENE </t>
  </si>
  <si>
    <t>CUIM850418HDFVZR01</t>
  </si>
  <si>
    <t>GONZÁLEZ ROBLEDO LUCIA</t>
  </si>
  <si>
    <t>GORL750322MMCNBC03</t>
  </si>
  <si>
    <t>LÓPEZ LÓPEZ RICARDO</t>
  </si>
  <si>
    <t>LOLR690207HMCPPC03</t>
  </si>
  <si>
    <t>CHAMORRO SÁNCHEZ FRANCISCO EDUARDO</t>
  </si>
  <si>
    <t>CASF611012HMCHNR05</t>
  </si>
  <si>
    <t>HERRERA VIEYRA GERMÁN</t>
  </si>
  <si>
    <t>HEVG630528HDFRYR03</t>
  </si>
  <si>
    <t>VARGAS GARCÍA JOSÉ RAMÓN</t>
  </si>
  <si>
    <t>VAGR871207HDFRRM03</t>
  </si>
  <si>
    <t>RODRÍGUEZ RODRÍGUEZ PATRICIA</t>
  </si>
  <si>
    <t>RORP640606MDFDDT03</t>
  </si>
  <si>
    <t>PANIAGUA VEGA JOSÉ LUIS</t>
  </si>
  <si>
    <t>PAVL631203HMCNGS03</t>
  </si>
  <si>
    <t>TREJO DEL VALLE PORFIRIO</t>
  </si>
  <si>
    <t>TEVP620915HMCRLR06</t>
  </si>
  <si>
    <t>CORTES LIRA RAUL</t>
  </si>
  <si>
    <t>COLR630611HDFRRL03</t>
  </si>
  <si>
    <t>DOMINGUEZ NARANJO JOSÉ LUIS</t>
  </si>
  <si>
    <t>DONL620105HDFMRS06</t>
  </si>
  <si>
    <t>206271</t>
  </si>
  <si>
    <t>CXJA000220MMCLRNA0</t>
  </si>
  <si>
    <t>22063</t>
  </si>
  <si>
    <t>MORENO GOMEZ RICARDO</t>
  </si>
  <si>
    <t>GOMR800919HMCMRC03</t>
  </si>
  <si>
    <t>NIETO DAVALOS MIGUEL ÁNGEL</t>
  </si>
  <si>
    <t>COORDINACIÓN ADQUSICIONES</t>
  </si>
  <si>
    <t>NIDM860705HDFTVG07</t>
  </si>
  <si>
    <t xml:space="preserve">RECURSOS MATERIALES </t>
  </si>
  <si>
    <t>BONFANTE PINEDA STEFANY</t>
  </si>
  <si>
    <t>BOPS910522MMCNNT05</t>
  </si>
  <si>
    <t>AXILIAR ADMINISTRATIVO</t>
  </si>
  <si>
    <t>PÉREZ MUÑOZ MARIA JUANA</t>
  </si>
  <si>
    <t>PEMJ650328MHGRXN07</t>
  </si>
  <si>
    <t>GARCÍA VALENZUELA JOSÉ LUIS</t>
  </si>
  <si>
    <t>GAVL620501HCHRLS08</t>
  </si>
  <si>
    <t>NIEVES PÉREZ ANTONIO</t>
  </si>
  <si>
    <t>NIPA630613HDFVRN00</t>
  </si>
  <si>
    <t>ESPINOSA SANTA ROSA ALEJANDRO</t>
  </si>
  <si>
    <t xml:space="preserve">PERSONAL EVENTUAL </t>
  </si>
  <si>
    <t>VEGA LARIOS MIGUEL  BRANDON</t>
  </si>
  <si>
    <t>VELM990929HMCGRG05</t>
  </si>
  <si>
    <t>AVILA MEJIA DANIEL</t>
  </si>
  <si>
    <t xml:space="preserve">PERSONAL POR HONORARIOS </t>
  </si>
  <si>
    <t>AIMD000512HMCVJNA7</t>
  </si>
  <si>
    <t xml:space="preserve">OPERADOR DE SERVICIOS B </t>
  </si>
  <si>
    <t xml:space="preserve">CARBAJAL LOPEZ ZAIRA ITZEL </t>
  </si>
  <si>
    <t>CALZ960619MHGRPR08</t>
  </si>
  <si>
    <t>FUENTES GRACIANO PEDRO ELMER</t>
  </si>
  <si>
    <t>FUGP640531HDFNRD04</t>
  </si>
  <si>
    <t>SANDOVAL RAMON JORGE</t>
  </si>
  <si>
    <t>SARJ720225HDFNMR00</t>
  </si>
  <si>
    <t>ESPINDOLA POSADAS RICARDO</t>
  </si>
  <si>
    <t>EIPR610204HMCSSC02</t>
  </si>
  <si>
    <t>ARCINIEGA MARTÍNEZ SERGIO ALBERTO</t>
  </si>
  <si>
    <t>AIMS940218HDFRRK02</t>
  </si>
  <si>
    <t>RIVERA GALINDO ANA NEREYDA</t>
  </si>
  <si>
    <t>RIGA600726MSLVLN01</t>
  </si>
  <si>
    <t>OBREGÓN GONZÁLEZ GABRIEL</t>
  </si>
  <si>
    <t>OEGG640830HDFBNB05</t>
  </si>
  <si>
    <t xml:space="preserve">DIVERSIDAD SEXUAL Y DERECHOS HUMANOS </t>
  </si>
  <si>
    <t>CUMPLIMIENTO DE LA LEY GENERAL DE ARCHIVOS Y NORMATIVIDAD EN MATERIA DE ARCHIVOS 2026</t>
  </si>
  <si>
    <t>LA EPILEPSIA EN LA NIÑEZ ¿UNA ENFERMEDAD RARA?</t>
  </si>
  <si>
    <t>ATENCIÓN A TRASTORNOS MENTALES BASADA EN LA ESTRATEGIA mhGAP</t>
  </si>
  <si>
    <t>CURSO DE ACTUALIZACIÓN EN TERAPIA TRANSPERSONAL</t>
  </si>
  <si>
    <t>CURSO DE ACTUALIZACIÓN EN LA CLASIFICACIÓN INTERNACIONAL DE ENFERMEDADES 11a REVISIÓN (CIE-11)</t>
  </si>
  <si>
    <t>ACOSO ESCOLAR, VIOLENCIA ESCOLAR Y EN LA ESCUELA</t>
  </si>
  <si>
    <t>DERECHOS HUMANOS Y COMPETENCIAS SOCIOEMOCIONALES</t>
  </si>
  <si>
    <t>6037</t>
  </si>
  <si>
    <t>AREVALO GALLEGOS DANIEL RAUL</t>
  </si>
  <si>
    <t>DIVERSIDAD Y DERECHOS LINGUISTICOS DE LOS PUEBLOS INDÍGENAS DE MÉXICO</t>
  </si>
  <si>
    <t>FLORES VÁZQUEZ OFELIA</t>
  </si>
  <si>
    <t>6057</t>
  </si>
  <si>
    <t>CAPETILLO FLORES SANDRA DANAETH</t>
  </si>
  <si>
    <t>ENFERMEDADES DE TRABAJO</t>
  </si>
  <si>
    <t>QUÍMICO</t>
  </si>
  <si>
    <t>206348</t>
  </si>
  <si>
    <t>MENDEZ ESTRADA JOSE PABLO</t>
  </si>
  <si>
    <t>PLATICA DE INDUCCION AL PERSONAL DE NUEVO INGRESO</t>
  </si>
  <si>
    <t>B</t>
  </si>
  <si>
    <t>PLATICA DE INDUCCION AL SGC-MLS</t>
  </si>
  <si>
    <t>PRENCIAL</t>
  </si>
  <si>
    <t>HERRAMIENTAS BASICAS DE MICROSOFT OFFICE 2010.WORD</t>
  </si>
  <si>
    <t xml:space="preserve"> PROBLEMAS DE CONDUCTA Y DESARROLLO EN NIÑOS Y/O ADOLECENTES? ESTRATEGIAS DE SOLUCION PARA VIVIR MEJOR</t>
  </si>
  <si>
    <t>AMENAZAS DIGITALES Y SEGURIDAD DE LA INFORMACION</t>
  </si>
  <si>
    <t>PREVENCION Y CONTROL DEL CANCER DE MAMA</t>
  </si>
  <si>
    <t>07/05/026</t>
  </si>
  <si>
    <t xml:space="preserve">         07/05/026</t>
  </si>
  <si>
    <t>206363</t>
  </si>
  <si>
    <t>RAMIREZ FERNANDEZ MARCO ANTONIO</t>
  </si>
  <si>
    <t>RAFM02228MMCMRRA8</t>
  </si>
  <si>
    <t>DERECHOS HUMANOS Y VIOLENCIA</t>
  </si>
  <si>
    <t>PERSONAS CON DISCAPACIDAD;TRANSFORMANDO BARRERAS EN OPORTUNIDADES</t>
  </si>
  <si>
    <t>x</t>
  </si>
  <si>
    <t>20/05/202620/05/2026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</si>
</sst>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4"/>
      <color theme="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24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Noto Sans"/>
      <family val="2"/>
      <charset val="1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  <font>
      <b/>
      <sz val="2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9" fillId="0" borderId="0" applyBorder="0" applyProtection="0"/>
  </cellStyleXfs>
  <cellXfs count="229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2" fillId="3" borderId="12" xfId="0" applyFont="1" applyFill="1" applyBorder="1" applyAlignment="1" applyProtection="1">
      <alignment horizontal="left" vertical="center"/>
      <protection locked="0"/>
    </xf>
    <xf numFmtId="49" fontId="12" fillId="3" borderId="12" xfId="0" applyNumberFormat="1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vertical="center"/>
      <protection locked="0"/>
    </xf>
    <xf numFmtId="14" fontId="6" fillId="3" borderId="12" xfId="0" applyNumberFormat="1" applyFont="1" applyFill="1" applyBorder="1" applyAlignment="1" applyProtection="1">
      <alignment vertical="center"/>
      <protection locked="0"/>
    </xf>
    <xf numFmtId="14" fontId="6" fillId="3" borderId="12" xfId="0" applyNumberFormat="1" applyFont="1" applyFill="1" applyBorder="1" applyAlignment="1" applyProtection="1">
      <alignment horizontal="right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Protection="1">
      <protection locked="0"/>
    </xf>
    <xf numFmtId="0" fontId="12" fillId="3" borderId="13" xfId="0" applyFont="1" applyFill="1" applyBorder="1" applyAlignment="1" applyProtection="1">
      <alignment horizontal="center" vertical="center"/>
      <protection locked="0"/>
    </xf>
    <xf numFmtId="0" fontId="12" fillId="3" borderId="13" xfId="0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14" fontId="6" fillId="3" borderId="13" xfId="0" applyNumberFormat="1" applyFont="1" applyFill="1" applyBorder="1" applyAlignment="1" applyProtection="1">
      <alignment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14" fontId="6" fillId="3" borderId="13" xfId="0" applyNumberFormat="1" applyFont="1" applyFill="1" applyBorder="1" applyAlignment="1" applyProtection="1">
      <alignment horizontal="right" vertical="center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left" vertical="center"/>
      <protection locked="0"/>
    </xf>
    <xf numFmtId="0" fontId="12" fillId="4" borderId="13" xfId="0" applyFont="1" applyFill="1" applyBorder="1" applyAlignment="1" applyProtection="1">
      <alignment horizontal="center" vertical="center"/>
      <protection locked="0"/>
    </xf>
    <xf numFmtId="0" fontId="12" fillId="4" borderId="13" xfId="0" applyFont="1" applyFill="1" applyBorder="1" applyAlignment="1" applyProtection="1">
      <alignment horizontal="left" vertical="center"/>
      <protection locked="0"/>
    </xf>
    <xf numFmtId="49" fontId="12" fillId="4" borderId="13" xfId="0" applyNumberFormat="1" applyFont="1" applyFill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horizontal="left" vertical="center"/>
      <protection locked="0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vertical="center"/>
      <protection locked="0"/>
    </xf>
    <xf numFmtId="14" fontId="6" fillId="4" borderId="13" xfId="0" applyNumberFormat="1" applyFont="1" applyFill="1" applyBorder="1" applyAlignment="1" applyProtection="1">
      <alignment vertical="center"/>
      <protection locked="0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6" fillId="4" borderId="16" xfId="0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0" fontId="6" fillId="3" borderId="13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 vertical="center" wrapText="1"/>
    </xf>
    <xf numFmtId="49" fontId="6" fillId="3" borderId="13" xfId="0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  <protection locked="0"/>
    </xf>
    <xf numFmtId="14" fontId="6" fillId="4" borderId="13" xfId="0" applyNumberFormat="1" applyFont="1" applyFill="1" applyBorder="1" applyAlignment="1" applyProtection="1">
      <alignment horizontal="right" vertical="center"/>
      <protection locked="0"/>
    </xf>
    <xf numFmtId="0" fontId="13" fillId="3" borderId="0" xfId="0" applyFont="1" applyFill="1" applyBorder="1" applyProtection="1">
      <protection locked="0"/>
    </xf>
    <xf numFmtId="0" fontId="12" fillId="3" borderId="13" xfId="0" applyFont="1" applyFill="1" applyBorder="1" applyAlignment="1">
      <alignment horizontal="left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Protection="1"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13" fillId="3" borderId="13" xfId="0" applyFont="1" applyFill="1" applyBorder="1" applyProtection="1"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12" fillId="4" borderId="13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1" fontId="6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left" vertical="center"/>
      <protection locked="0"/>
    </xf>
    <xf numFmtId="49" fontId="12" fillId="0" borderId="0" xfId="0" applyNumberFormat="1" applyFont="1" applyBorder="1" applyAlignment="1" applyProtection="1">
      <alignment horizontal="center" vertical="center"/>
      <protection locked="0"/>
    </xf>
    <xf numFmtId="0" fontId="12" fillId="3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14" fontId="6" fillId="0" borderId="0" xfId="0" applyNumberFormat="1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4" fontId="6" fillId="0" borderId="0" xfId="0" applyNumberFormat="1" applyFont="1" applyAlignment="1" applyProtection="1">
      <alignment horizontal="righ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21" xfId="0" applyNumberFormat="1" applyFont="1" applyFill="1" applyBorder="1" applyAlignment="1">
      <alignment horizontal="left"/>
    </xf>
    <xf numFmtId="0" fontId="18" fillId="0" borderId="13" xfId="0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left"/>
    </xf>
    <xf numFmtId="0" fontId="18" fillId="3" borderId="21" xfId="0" applyNumberFormat="1" applyFont="1" applyFill="1" applyBorder="1" applyAlignment="1">
      <alignment horizontal="left"/>
    </xf>
    <xf numFmtId="0" fontId="18" fillId="3" borderId="13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/>
    </xf>
    <xf numFmtId="49" fontId="18" fillId="3" borderId="21" xfId="0" applyNumberFormat="1" applyFont="1" applyFill="1" applyBorder="1" applyAlignment="1">
      <alignment horizontal="left"/>
    </xf>
    <xf numFmtId="0" fontId="18" fillId="3" borderId="22" xfId="0" applyFont="1" applyFill="1" applyBorder="1" applyAlignment="1">
      <alignment horizontal="left"/>
    </xf>
    <xf numFmtId="0" fontId="18" fillId="3" borderId="23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 vertical="center"/>
    </xf>
    <xf numFmtId="0" fontId="18" fillId="3" borderId="13" xfId="0" applyNumberFormat="1" applyFont="1" applyFill="1" applyBorder="1" applyAlignment="1">
      <alignment horizontal="left"/>
    </xf>
    <xf numFmtId="0" fontId="18" fillId="0" borderId="13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horizontal="left"/>
    </xf>
    <xf numFmtId="0" fontId="18" fillId="0" borderId="23" xfId="0" applyFont="1" applyFill="1" applyBorder="1" applyAlignment="1">
      <alignment horizontal="left"/>
    </xf>
    <xf numFmtId="0" fontId="18" fillId="0" borderId="12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left" vertical="center" wrapText="1"/>
    </xf>
    <xf numFmtId="49" fontId="18" fillId="0" borderId="21" xfId="0" applyNumberFormat="1" applyFont="1" applyFill="1" applyBorder="1" applyAlignment="1">
      <alignment horizontal="left"/>
    </xf>
    <xf numFmtId="0" fontId="18" fillId="0" borderId="24" xfId="1" applyNumberFormat="1" applyFont="1" applyFill="1" applyBorder="1" applyAlignment="1" applyProtection="1">
      <alignment horizontal="left"/>
    </xf>
    <xf numFmtId="0" fontId="18" fillId="0" borderId="13" xfId="0" applyNumberFormat="1" applyFont="1" applyFill="1" applyBorder="1" applyAlignment="1">
      <alignment horizontal="left" vertical="center" wrapText="1"/>
    </xf>
    <xf numFmtId="0" fontId="18" fillId="0" borderId="13" xfId="0" applyNumberFormat="1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20" fillId="0" borderId="0" xfId="0" applyFont="1"/>
    <xf numFmtId="0" fontId="0" fillId="0" borderId="0" xfId="0" applyAlignment="1">
      <alignment horizontal="center"/>
    </xf>
    <xf numFmtId="0" fontId="2" fillId="5" borderId="25" xfId="0" applyFont="1" applyFill="1" applyBorder="1" applyAlignment="1">
      <alignment horizontal="center"/>
    </xf>
    <xf numFmtId="0" fontId="17" fillId="5" borderId="26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 vertical="center" wrapText="1"/>
    </xf>
    <xf numFmtId="0" fontId="20" fillId="0" borderId="12" xfId="0" applyFont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20" fillId="0" borderId="13" xfId="0" applyFon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20" fillId="0" borderId="13" xfId="0" applyFont="1" applyBorder="1" applyProtection="1">
      <protection locked="0"/>
    </xf>
    <xf numFmtId="0" fontId="20" fillId="0" borderId="13" xfId="0" applyFont="1" applyBorder="1" applyAlignment="1">
      <alignment vertical="center"/>
    </xf>
    <xf numFmtId="0" fontId="20" fillId="3" borderId="13" xfId="0" applyFont="1" applyFill="1" applyBorder="1" applyAlignment="1">
      <alignment vertical="center"/>
    </xf>
    <xf numFmtId="0" fontId="20" fillId="3" borderId="13" xfId="0" applyFont="1" applyFill="1" applyBorder="1" applyAlignment="1" applyProtection="1">
      <alignment vertical="center"/>
      <protection locked="0"/>
    </xf>
    <xf numFmtId="0" fontId="20" fillId="0" borderId="13" xfId="0" applyFont="1" applyBorder="1" applyAlignment="1" applyProtection="1">
      <alignment vertical="center"/>
      <protection locked="0"/>
    </xf>
    <xf numFmtId="0" fontId="0" fillId="0" borderId="13" xfId="0" applyFill="1" applyBorder="1"/>
    <xf numFmtId="0" fontId="0" fillId="0" borderId="9" xfId="0" applyBorder="1"/>
    <xf numFmtId="0" fontId="0" fillId="0" borderId="28" xfId="0" applyBorder="1"/>
    <xf numFmtId="0" fontId="1" fillId="6" borderId="13" xfId="0" applyFont="1" applyFill="1" applyBorder="1" applyAlignment="1">
      <alignment horizontal="center" vertical="center"/>
    </xf>
    <xf numFmtId="0" fontId="1" fillId="0" borderId="0" xfId="0" applyFont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49" fontId="22" fillId="0" borderId="31" xfId="0" applyNumberFormat="1" applyFont="1" applyBorder="1" applyAlignment="1">
      <alignment horizontal="center"/>
    </xf>
    <xf numFmtId="0" fontId="22" fillId="0" borderId="32" xfId="0" applyFont="1" applyBorder="1" applyAlignment="1">
      <alignment horizontal="left"/>
    </xf>
    <xf numFmtId="0" fontId="22" fillId="0" borderId="31" xfId="0" applyFont="1" applyBorder="1" applyAlignment="1">
      <alignment horizontal="left"/>
    </xf>
    <xf numFmtId="0" fontId="5" fillId="0" borderId="32" xfId="0" applyFont="1" applyBorder="1"/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/>
    <xf numFmtId="14" fontId="5" fillId="0" borderId="31" xfId="0" applyNumberFormat="1" applyFont="1" applyBorder="1"/>
    <xf numFmtId="14" fontId="5" fillId="0" borderId="32" xfId="0" applyNumberFormat="1" applyFont="1" applyBorder="1" applyAlignment="1">
      <alignment horizontal="right"/>
    </xf>
    <xf numFmtId="0" fontId="5" fillId="0" borderId="30" xfId="0" applyFont="1" applyBorder="1" applyAlignment="1">
      <alignment horizontal="center"/>
    </xf>
    <xf numFmtId="0" fontId="5" fillId="0" borderId="13" xfId="0" applyFont="1" applyBorder="1"/>
    <xf numFmtId="0" fontId="13" fillId="0" borderId="0" xfId="0" applyFont="1"/>
    <xf numFmtId="0" fontId="22" fillId="3" borderId="23" xfId="0" applyFont="1" applyFill="1" applyBorder="1" applyAlignment="1">
      <alignment horizontal="center"/>
    </xf>
    <xf numFmtId="0" fontId="22" fillId="3" borderId="33" xfId="0" applyFont="1" applyFill="1" applyBorder="1" applyAlignment="1">
      <alignment horizontal="left"/>
    </xf>
    <xf numFmtId="49" fontId="22" fillId="3" borderId="34" xfId="0" applyNumberFormat="1" applyFont="1" applyFill="1" applyBorder="1" applyAlignment="1">
      <alignment horizontal="center"/>
    </xf>
    <xf numFmtId="0" fontId="22" fillId="3" borderId="23" xfId="0" applyFont="1" applyFill="1" applyBorder="1" applyAlignment="1">
      <alignment horizontal="left"/>
    </xf>
    <xf numFmtId="0" fontId="22" fillId="3" borderId="34" xfId="0" applyFont="1" applyFill="1" applyBorder="1" applyAlignment="1">
      <alignment horizontal="left"/>
    </xf>
    <xf numFmtId="0" fontId="5" fillId="3" borderId="23" xfId="0" applyFont="1" applyFill="1" applyBorder="1"/>
    <xf numFmtId="0" fontId="5" fillId="3" borderId="3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1" xfId="0" applyFont="1" applyFill="1" applyBorder="1"/>
    <xf numFmtId="14" fontId="5" fillId="3" borderId="34" xfId="0" applyNumberFormat="1" applyFont="1" applyFill="1" applyBorder="1"/>
    <xf numFmtId="14" fontId="5" fillId="3" borderId="23" xfId="0" applyNumberFormat="1" applyFont="1" applyFill="1" applyBorder="1" applyAlignment="1">
      <alignment horizontal="right"/>
    </xf>
    <xf numFmtId="0" fontId="5" fillId="3" borderId="33" xfId="0" applyFont="1" applyFill="1" applyBorder="1" applyAlignment="1">
      <alignment horizontal="center"/>
    </xf>
    <xf numFmtId="0" fontId="5" fillId="3" borderId="13" xfId="0" applyFont="1" applyFill="1" applyBorder="1"/>
    <xf numFmtId="0" fontId="13" fillId="3" borderId="0" xfId="0" applyFont="1" applyFill="1"/>
    <xf numFmtId="0" fontId="22" fillId="0" borderId="23" xfId="0" applyFont="1" applyBorder="1" applyAlignment="1">
      <alignment horizontal="center"/>
    </xf>
    <xf numFmtId="0" fontId="22" fillId="0" borderId="33" xfId="0" applyFont="1" applyBorder="1" applyAlignment="1">
      <alignment horizontal="left"/>
    </xf>
    <xf numFmtId="49" fontId="22" fillId="0" borderId="34" xfId="0" applyNumberFormat="1" applyFont="1" applyBorder="1" applyAlignment="1">
      <alignment horizontal="center"/>
    </xf>
    <xf numFmtId="0" fontId="22" fillId="0" borderId="23" xfId="0" applyFont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5" fillId="0" borderId="23" xfId="0" applyFont="1" applyBorder="1"/>
    <xf numFmtId="0" fontId="5" fillId="0" borderId="3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34" xfId="0" applyNumberFormat="1" applyFont="1" applyBorder="1"/>
    <xf numFmtId="14" fontId="5" fillId="0" borderId="23" xfId="0" applyNumberFormat="1" applyFont="1" applyBorder="1" applyAlignment="1">
      <alignment horizontal="right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14" fontId="5" fillId="0" borderId="34" xfId="0" applyNumberFormat="1" applyFont="1" applyBorder="1" applyAlignment="1">
      <alignment horizontal="right"/>
    </xf>
    <xf numFmtId="14" fontId="5" fillId="3" borderId="23" xfId="0" applyNumberFormat="1" applyFont="1" applyFill="1" applyBorder="1"/>
    <xf numFmtId="0" fontId="5" fillId="0" borderId="34" xfId="0" applyFont="1" applyBorder="1"/>
    <xf numFmtId="14" fontId="5" fillId="0" borderId="23" xfId="0" applyNumberFormat="1" applyFont="1" applyBorder="1"/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left"/>
    </xf>
    <xf numFmtId="49" fontId="22" fillId="0" borderId="37" xfId="0" applyNumberFormat="1" applyFont="1" applyBorder="1" applyAlignment="1">
      <alignment horizontal="center"/>
    </xf>
    <xf numFmtId="0" fontId="22" fillId="0" borderId="37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36" xfId="0" applyFont="1" applyBorder="1"/>
    <xf numFmtId="0" fontId="5" fillId="0" borderId="37" xfId="0" applyFont="1" applyBorder="1" applyAlignment="1">
      <alignment horizontal="center" vertical="center"/>
    </xf>
    <xf numFmtId="0" fontId="5" fillId="0" borderId="37" xfId="0" applyFont="1" applyBorder="1"/>
    <xf numFmtId="0" fontId="5" fillId="0" borderId="38" xfId="0" applyFont="1" applyBorder="1"/>
    <xf numFmtId="0" fontId="5" fillId="0" borderId="35" xfId="0" applyFont="1" applyBorder="1"/>
    <xf numFmtId="14" fontId="5" fillId="0" borderId="37" xfId="0" applyNumberFormat="1" applyFont="1" applyBorder="1"/>
    <xf numFmtId="14" fontId="13" fillId="0" borderId="36" xfId="0" applyNumberFormat="1" applyFont="1" applyBorder="1"/>
    <xf numFmtId="0" fontId="5" fillId="0" borderId="39" xfId="0" applyFont="1" applyBorder="1" applyAlignment="1">
      <alignment horizontal="center"/>
    </xf>
    <xf numFmtId="0" fontId="23" fillId="8" borderId="13" xfId="0" applyFont="1" applyFill="1" applyBorder="1" applyAlignment="1" applyProtection="1">
      <alignment vertical="center"/>
      <protection locked="0"/>
    </xf>
    <xf numFmtId="14" fontId="23" fillId="8" borderId="22" xfId="0" applyNumberFormat="1" applyFont="1" applyFill="1" applyBorder="1" applyAlignment="1" applyProtection="1">
      <alignment vertical="center"/>
      <protection locked="0"/>
    </xf>
    <xf numFmtId="0" fontId="23" fillId="8" borderId="22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23" fillId="8" borderId="13" xfId="0" applyFont="1" applyFill="1" applyBorder="1" applyAlignment="1" applyProtection="1">
      <alignment horizontal="center" vertical="center"/>
      <protection locked="0"/>
    </xf>
    <xf numFmtId="0" fontId="23" fillId="8" borderId="22" xfId="0" applyFont="1" applyFill="1" applyBorder="1" applyAlignment="1" applyProtection="1">
      <alignment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14" fontId="23" fillId="8" borderId="13" xfId="0" applyNumberFormat="1" applyFont="1" applyFill="1" applyBorder="1" applyAlignment="1" applyProtection="1">
      <alignment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</cellXfs>
  <cellStyles count="2">
    <cellStyle name="Normal" xfId="0" builtinId="0"/>
    <cellStyle name="Normal 2 4" xfId="1"/>
  </cellStyles>
  <dxfs count="4">
    <dxf>
      <font>
        <color theme="0"/>
      </font>
      <numFmt numFmtId="0" formatCode="General"/>
      <fill>
        <patternFill patternType="solid">
          <bgColor theme="0"/>
        </patternFill>
      </fill>
    </dxf>
    <dxf>
      <fill>
        <patternFill>
          <bgColor rgb="FFFFC000"/>
        </patternFill>
      </fill>
    </dxf>
    <dxf>
      <font>
        <color theme="0"/>
      </font>
      <numFmt numFmtId="0" formatCode="General"/>
      <fill>
        <patternFill patternType="solid">
          <bgColor theme="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2623236</xdr:colOff>
      <xdr:row>0</xdr:row>
      <xdr:rowOff>0</xdr:rowOff>
    </xdr:from>
    <xdr:to>
      <xdr:col>14</xdr:col>
      <xdr:colOff>12287250</xdr:colOff>
      <xdr:row>11</xdr:row>
      <xdr:rowOff>95250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t="4139" r="166" b="87466"/>
        <a:stretch/>
      </xdr:blipFill>
      <xdr:spPr>
        <a:xfrm>
          <a:off x="14691411" y="0"/>
          <a:ext cx="45544689" cy="455295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4667250</xdr:colOff>
      <xdr:row>812</xdr:row>
      <xdr:rowOff>352682</xdr:rowOff>
    </xdr:from>
    <xdr:to>
      <xdr:col>16</xdr:col>
      <xdr:colOff>857250</xdr:colOff>
      <xdr:row>831</xdr:row>
      <xdr:rowOff>285750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/>
        <a:srcRect t="86664" b="3110"/>
        <a:stretch/>
      </xdr:blipFill>
      <xdr:spPr>
        <a:xfrm>
          <a:off x="7400925" y="370275107"/>
          <a:ext cx="60255150" cy="71720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ilvestre%20%20Leche%20para%20el%20bienestar%20Enero-Mayo%202026\SILVESTRE\PLAN%20Y%20PROGRAMA%20DE%20CAP%20MODIFICADO%20I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_ACTIVAS"/>
      <sheetName val=" PLAN Y PROGRAMA ANUAL 2025"/>
      <sheetName val="CURSOS 2025"/>
      <sheetName val="Activos 2023"/>
      <sheetName val="Cursos 2023"/>
      <sheetName val="BAJA 2024 (TRABAJADORES)"/>
    </sheetNames>
    <sheetDataSet>
      <sheetData sheetId="0" refreshError="1"/>
      <sheetData sheetId="1" refreshError="1"/>
      <sheetData sheetId="2">
        <row r="1">
          <cell r="A1">
            <v>1</v>
          </cell>
          <cell r="B1">
            <v>2</v>
          </cell>
        </row>
        <row r="2">
          <cell r="A2" t="str">
            <v>Cursos</v>
          </cell>
          <cell r="B2" t="str">
            <v>$</v>
          </cell>
        </row>
        <row r="3">
          <cell r="A3" t="str">
            <v>ABORDAJE DE TRASTORNO POR CONSUMO DE SUSTANCIAS EN EL TERCER NIVEL DE ATENCIÓN CON BASE EN EL NUEVO MODELO MEXICANO</v>
          </cell>
          <cell r="B3" t="str">
            <v>S/COSTO</v>
          </cell>
        </row>
        <row r="4">
          <cell r="A4" t="str">
            <v>ATENCIÓN A TRANSTORNOS MENTALES BASADA EN LA ESTRATEGIA mhGAP</v>
          </cell>
          <cell r="B4" t="str">
            <v>S/COSTO</v>
          </cell>
        </row>
        <row r="5">
          <cell r="A5" t="str">
            <v>ESGUINCE DE TOBILLO Y MUÑECA</v>
          </cell>
          <cell r="B5" t="str">
            <v>S/COSTO</v>
          </cell>
        </row>
        <row r="6">
          <cell r="A6" t="str">
            <v>ABC DE LA OBESIDAD</v>
          </cell>
          <cell r="B6" t="str">
            <v>S/COSTO</v>
          </cell>
        </row>
        <row r="7">
          <cell r="A7" t="str">
            <v>PREVENCIÓN DE LA TRATA DE PERSONAS</v>
          </cell>
          <cell r="B7" t="str">
            <v>S/COSTO</v>
          </cell>
        </row>
        <row r="8">
          <cell r="A8" t="str">
            <v xml:space="preserve">DERECHOS HUMANOS Y SALUD </v>
          </cell>
          <cell r="B8" t="str">
            <v>S/COSTO</v>
          </cell>
        </row>
        <row r="9">
          <cell r="A9" t="str">
            <v xml:space="preserve">MARKETING DIGITAL I </v>
          </cell>
          <cell r="B9" t="str">
            <v>S/COSTO</v>
          </cell>
        </row>
        <row r="10">
          <cell r="A10" t="str">
            <v>PLÁTICA DE INDUCCIÓN AL PERSONAL DE NUEVO INGRESO</v>
          </cell>
          <cell r="B10" t="str">
            <v>S/COSTO</v>
          </cell>
        </row>
        <row r="11">
          <cell r="A11" t="str">
            <v>PLÁTICA DE SEGURIDAD E HIGIENE INDUSTRIAL AL PERSONAL DE NUEVO INGRESO</v>
          </cell>
          <cell r="B11" t="str">
            <v>S/COSTO</v>
          </cell>
        </row>
        <row r="12">
          <cell r="A12" t="str">
            <v>EXCEL INTERMEDIO</v>
          </cell>
          <cell r="B12" t="str">
            <v>S/COSTO</v>
          </cell>
        </row>
        <row r="13">
          <cell r="A13" t="str">
            <v>PLATICA DE INDUCCIÓN IMSS</v>
          </cell>
          <cell r="B13" t="str">
            <v>S/COSTO</v>
          </cell>
        </row>
        <row r="14">
          <cell r="A14" t="str">
            <v>APLICACIONES DE LA INTELIGENCIA ARTIFICIAL EN EL USO Y OPTIMIZACIÓN DE SISTMAS DE ENERGÍA RENOVABLE</v>
          </cell>
          <cell r="B14" t="str">
            <v>S/COSTO</v>
          </cell>
        </row>
        <row r="15">
          <cell r="A15" t="str">
            <v>PROCESO DE PASTEURIZACIÓN Y LAVADO DE EQUIPO</v>
          </cell>
          <cell r="B15" t="str">
            <v>S/COSTO</v>
          </cell>
        </row>
        <row r="16">
          <cell r="A16" t="str">
            <v>ASESORÍA SOBRE ACCIONES DE MEJORA DE LA PTAR</v>
          </cell>
          <cell r="B16" t="str">
            <v>S/COSTO</v>
          </cell>
        </row>
        <row r="17">
          <cell r="A17" t="str">
            <v>PROCESO DE PASTEURIZACIÓN Y LAVADO DE EQUIPO</v>
          </cell>
          <cell r="B17" t="str">
            <v>S/COSTO (2024)</v>
          </cell>
        </row>
        <row r="18">
          <cell r="A18" t="str">
            <v>CONSUMO DE SUSTANCIAS PSICOACTIVAS EN EL ENTORNO LABORAL</v>
          </cell>
          <cell r="B18" t="str">
            <v>S/COSTO</v>
          </cell>
        </row>
        <row r="19">
          <cell r="A19" t="str">
            <v>REFORMAS FISCALES 2024</v>
          </cell>
          <cell r="B19" t="str">
            <v>S/COSTO</v>
          </cell>
        </row>
        <row r="20">
          <cell r="A20" t="str">
            <v xml:space="preserve">DE LA DUDA A LA CONFIANZA EMPODERANDO TU LIDERAZGO </v>
          </cell>
          <cell r="B20" t="str">
            <v>S/COSTO</v>
          </cell>
        </row>
        <row r="21">
          <cell r="A21" t="str">
            <v>BASES TÉCNICAS DE LA PLANIFICACIÓN ENERGÉTICA Y EL SEGUIMIENTO DEL DESEMPEÑO ENERGÉTICO DE LAS INSTLACIONES INDUSTRIALES DE LICONSA</v>
          </cell>
          <cell r="B21" t="str">
            <v>S/COSTO</v>
          </cell>
        </row>
        <row r="22">
          <cell r="A22" t="str">
            <v>LEGISLACIÓN AMBIENTAL MEXICANA</v>
          </cell>
          <cell r="B22" t="str">
            <v>S/COSTO</v>
          </cell>
        </row>
        <row r="23">
          <cell r="A23" t="str">
            <v>TALLER INFORMATIVO SOBRE LAS DISPOSICIONES APF 2025</v>
          </cell>
          <cell r="B23" t="str">
            <v>S/COSTO</v>
          </cell>
        </row>
        <row r="24">
          <cell r="A24" t="str">
            <v>LIDERAZGO CONSCIENTE FEMENINO</v>
          </cell>
          <cell r="B24" t="str">
            <v>S/COSTO</v>
          </cell>
        </row>
        <row r="25">
          <cell r="A25" t="str">
            <v>SUPERVICIÓN EFECTIVA Y LIDERAZGO</v>
          </cell>
          <cell r="B25" t="str">
            <v>S/COSTO</v>
          </cell>
        </row>
        <row r="26">
          <cell r="A26" t="str">
            <v>TRABAJO EN EQUIPO</v>
          </cell>
          <cell r="B26" t="str">
            <v>S/COSTO</v>
          </cell>
        </row>
        <row r="27">
          <cell r="A27" t="str">
            <v>ABORDAJE DE TRANSTORNOS POR CONSUMO DE SUSTANCIAS EN EL TERCER NIVEL DE ATENCIÓN CON BASE EN EL NUEVO MODEO MEXICANO</v>
          </cell>
          <cell r="B27" t="str">
            <v>S/COSTO</v>
          </cell>
        </row>
        <row r="28">
          <cell r="A28" t="str">
            <v>SALUD MENTAL PARA TODAS LAS PERSONAS</v>
          </cell>
          <cell r="B28" t="str">
            <v>S/COSTO</v>
          </cell>
        </row>
        <row r="29">
          <cell r="A29" t="str">
            <v>FACTORES DE RIESGO EN ADICCIONES, EL MALTRATO ESCOLAR Y CIBERACOSO</v>
          </cell>
          <cell r="B29" t="str">
            <v>S/COSTO</v>
          </cell>
        </row>
        <row r="30">
          <cell r="A30" t="str">
            <v>HERRAMIENTAS PARA LA PREVENCIÓN DEL CONSUMO DE CANNABIS Y SUS NUEVOS DERIVADOS (VAPEADORES)</v>
          </cell>
          <cell r="B30" t="str">
            <v>S/COSTO</v>
          </cell>
        </row>
        <row r="31">
          <cell r="A31" t="str">
            <v>CRIANZA POSITIVA</v>
          </cell>
          <cell r="B31" t="str">
            <v>S/COSTO</v>
          </cell>
        </row>
        <row r="32">
          <cell r="A32" t="str">
            <v>ATENCIÓN SOCIOSANITARIA DE LAS PERSONAS MAYORES EN EL DOMICILIO, (FORTALECIMIENTO DE LAS COMPETENCIAS EN EL PERSONAL DE ENFERMERÍA)</v>
          </cell>
          <cell r="B32" t="str">
            <v>S/COSTO</v>
          </cell>
        </row>
        <row r="33">
          <cell r="A33" t="str">
            <v>DOCUMENTACIÓN DEL SISTEMA DE GESTIÓN DE LA CALIDAD ISO 9001: 2015</v>
          </cell>
          <cell r="B33" t="str">
            <v>S/COSTO</v>
          </cell>
        </row>
        <row r="34">
          <cell r="A34" t="str">
            <v>SISTEMA DE GESTIÓN DE LA CALIDAD MULTISITIOS Y LABORATORIOS SUCURSALES</v>
          </cell>
          <cell r="B34" t="str">
            <v>S/COSTO</v>
          </cell>
        </row>
        <row r="35">
          <cell r="A35" t="str">
            <v>LA COMISIÓN NACIONAL DE LOS DERECHOS HUMANOS</v>
          </cell>
          <cell r="B35" t="str">
            <v>S/COSTO</v>
          </cell>
        </row>
        <row r="36">
          <cell r="A36" t="str">
            <v>LENGUAJE CIUDADANO</v>
          </cell>
          <cell r="B36" t="str">
            <v>S/COSTO</v>
          </cell>
        </row>
        <row r="37">
          <cell r="A37" t="str">
            <v>PREVENCIÓN DE LA TRATA DE PERSONAS</v>
          </cell>
          <cell r="B37" t="str">
            <v>S/COSTO</v>
          </cell>
        </row>
        <row r="38">
          <cell r="A38" t="str">
            <v>ASPECTOS GENERALES DE DERECHOS HUMANOS</v>
          </cell>
          <cell r="B38" t="str">
            <v>S/COSTO</v>
          </cell>
        </row>
        <row r="39">
          <cell r="A39" t="str">
            <v>HOMBRES CONTRA LA VIOLENCIA HACIA LAS MUJERES, NIÑAS Y NIÑOS. MASCULINIDADES ALTERNATIVAS</v>
          </cell>
          <cell r="B39" t="str">
            <v>S/COSTO</v>
          </cell>
        </row>
        <row r="40">
          <cell r="A40" t="str">
            <v xml:space="preserve">DERECHOS HUMANOS Y SALUD </v>
          </cell>
          <cell r="B40" t="str">
            <v>S/COSTO</v>
          </cell>
        </row>
        <row r="41">
          <cell r="A41" t="str">
            <v>NOM-251-SSA1-2009</v>
          </cell>
          <cell r="B41" t="str">
            <v>S/COSTO</v>
          </cell>
        </row>
        <row r="42">
          <cell r="A42" t="str">
            <v>DECLARATORIAS DE INTENCIÓN</v>
          </cell>
          <cell r="B42" t="str">
            <v>S/COSTO</v>
          </cell>
        </row>
        <row r="43">
          <cell r="A43" t="str">
            <v>REHABILITACIÒN PARA PERSONAS POST COVID-19</v>
          </cell>
          <cell r="B43" t="str">
            <v>S/COSTO</v>
          </cell>
        </row>
        <row r="44">
          <cell r="A44" t="str">
            <v xml:space="preserve">BIENESTAR PSICOSOCIAL EN EL AMBIENTE LABORAL Y NUEVA NORMALIDAD </v>
          </cell>
          <cell r="B44" t="str">
            <v>S/COSTO</v>
          </cell>
        </row>
        <row r="45">
          <cell r="A45" t="str">
            <v>PREVENCIÒN Y ATENCIÒN DE LA VIOLENCIA FAMILIAR Y SEXUAL CONTRA LAS MUJERES</v>
          </cell>
          <cell r="B45" t="str">
            <v>S/COSTO</v>
          </cell>
        </row>
        <row r="46">
          <cell r="A46" t="str">
            <v>LOS VICIOS QUE AFECTAN LA EXPRESÒN ORAL Y ESCRITA</v>
          </cell>
          <cell r="B46" t="str">
            <v>S/COSTO</v>
          </cell>
        </row>
        <row r="47">
          <cell r="A47" t="str">
            <v>INTRODUCCIÓN A LA ADMINISTRACIÓN PÚBLICA FEDERAL</v>
          </cell>
          <cell r="B47" t="str">
            <v>S/COSTO</v>
          </cell>
        </row>
        <row r="48">
          <cell r="A48" t="str">
            <v>MASCULINIDADES ALTERNATIVAS LIBRES DE VIOLENCIA</v>
          </cell>
          <cell r="B48" t="str">
            <v>S/COSTO</v>
          </cell>
        </row>
        <row r="49">
          <cell r="A49" t="str">
            <v>CONSEJOS PARA EL CUIDADO DE TU ESPALDA</v>
          </cell>
          <cell r="B49" t="str">
            <v>S/COSTO</v>
          </cell>
        </row>
        <row r="50">
          <cell r="A50" t="str">
            <v xml:space="preserve">AYUNO INTERMITENTE: CUIDADO DE LA SALUD Y DEL PESO CORPORAL </v>
          </cell>
          <cell r="B50" t="str">
            <v>S/COSTO</v>
          </cell>
        </row>
        <row r="51">
          <cell r="A51" t="str">
            <v>MI PROYECTO DE VIDA A LA MEDIDA</v>
          </cell>
          <cell r="B51" t="str">
            <v>S/COSTO</v>
          </cell>
        </row>
        <row r="52">
          <cell r="A52" t="str">
            <v>CURSO DE INDUCCION AL SGC-MLS Y DECLARATORIAS DE INTENCIÓN</v>
          </cell>
          <cell r="B52" t="str">
            <v>S/COSTO</v>
          </cell>
        </row>
        <row r="53">
          <cell r="A53" t="str">
            <v>EL BEBÉ ANTES DE NACER</v>
          </cell>
          <cell r="B53" t="str">
            <v>S/COSTO</v>
          </cell>
        </row>
        <row r="54">
          <cell r="A54" t="str">
            <v>PREVENCIÓN DE LA TORTURA</v>
          </cell>
          <cell r="B54" t="str">
            <v>S/COSTO</v>
          </cell>
        </row>
        <row r="55">
          <cell r="A55" t="str">
            <v>PREVENCIÓN DE LAS ENFERMEDADES RELACIONADAS CON LA SALUD MENTAL EN EL TRABAJO</v>
          </cell>
          <cell r="B55" t="str">
            <v>S/COSTO</v>
          </cell>
        </row>
        <row r="56">
          <cell r="A56" t="str">
            <v>PREPARACIÓN PARA EL RETIRO LABORAL</v>
          </cell>
          <cell r="B56" t="str">
            <v>S/COSTO</v>
          </cell>
        </row>
        <row r="57">
          <cell r="A57" t="str">
            <v>IDENTIFICACIÓN DEL BURNOUT O AGOTAMIENTO LABORAL</v>
          </cell>
          <cell r="B57" t="str">
            <v>S/COSTO</v>
          </cell>
        </row>
        <row r="58">
          <cell r="A58" t="str">
            <v>LA EMPRESA BAJO EL ENFOQUE DE LOS DERECHOS HUMANOS</v>
          </cell>
          <cell r="B58" t="str">
            <v>S/COSTO</v>
          </cell>
        </row>
        <row r="59">
          <cell r="A59" t="str">
            <v>SALUD BUCAL EN DIABETES</v>
          </cell>
          <cell r="B59" t="str">
            <v>S/COSTO</v>
          </cell>
        </row>
        <row r="60">
          <cell r="A60" t="str">
            <v>ENVEJECIMIENTO SALUDABLE</v>
          </cell>
          <cell r="B60" t="str">
            <v>S/COSTO</v>
          </cell>
        </row>
        <row r="61">
          <cell r="A61" t="str">
            <v>MEDICACIÓN Y RESOLUCIÓN PACÍFICA DE CONFLICTOS</v>
          </cell>
          <cell r="B61" t="str">
            <v>S/COSTO</v>
          </cell>
        </row>
        <row r="62">
          <cell r="A62" t="str">
            <v>ATENCIÓN A LOS PROBLEMAS POR CONSUMO DE SUSTANCIAS PSICOACTIVAS EN LOS SERVICIOS DE URGENCIAS Y CONSULTA EXTERNA DEL SEGUNDO NIVEL</v>
          </cell>
          <cell r="B62" t="str">
            <v>S/COSTO</v>
          </cell>
        </row>
        <row r="63">
          <cell r="A63" t="str">
            <v>EL DESAFÍO DE LAS NUEVAS SUSTANCIAS PSICOACTIVAS. PROTECCIÓN DE LA POBLACIÓN JOVEN EN SUS ENTORNOS ESCOLARES Y COMUNITARIOS</v>
          </cell>
          <cell r="B63" t="str">
            <v>S/COSTO</v>
          </cell>
        </row>
        <row r="64">
          <cell r="A64" t="str">
            <v xml:space="preserve">EXCEL </v>
          </cell>
          <cell r="B64" t="str">
            <v>S/COSTO</v>
          </cell>
        </row>
        <row r="65">
          <cell r="A65" t="str">
            <v>PROGRAMA DE PROTECCIÓN CIVIL</v>
          </cell>
          <cell r="B65" t="str">
            <v>S/COSTO</v>
          </cell>
        </row>
        <row r="66">
          <cell r="A66" t="str">
            <v>SALUD EN EL TRABAJO</v>
          </cell>
          <cell r="B66" t="str">
            <v>S/COSTO</v>
          </cell>
        </row>
        <row r="67">
          <cell r="A67" t="str">
            <v>JUGAMOS TODOS: ACTÍVATE Y DIVIÉRTETE EN CASA</v>
          </cell>
          <cell r="B67" t="str">
            <v>S/COSTO</v>
          </cell>
        </row>
        <row r="68">
          <cell r="A68" t="str">
            <v xml:space="preserve">DIVERSIDAD Y DERECHOS LINGÜÍSTICOS DE LOS PUEBLOS INDÍGENAS DE MÉXICO </v>
          </cell>
          <cell r="B68" t="str">
            <v>S/COSTO</v>
          </cell>
        </row>
        <row r="69">
          <cell r="A69" t="str">
            <v>CURSO DE FORMACIÓN INICIAL PARA PERSONAS CUIDADORAS DE PERSONAS MAYORES</v>
          </cell>
          <cell r="B69" t="str">
            <v>S/COSTO</v>
          </cell>
        </row>
        <row r="70">
          <cell r="A70" t="str">
            <v>ÉTICA E INTEGRIDAD PÚBLICA PARA UN BUEN GOBIERNO</v>
          </cell>
          <cell r="B70" t="str">
            <v>S/COSTO</v>
          </cell>
        </row>
        <row r="71">
          <cell r="A71" t="str">
            <v>NORMAS OFICIALES MEXICANAS DE LA SECRETARÍA DE TRABAJO Y PREVISIÓN SOCIAL (STPS)</v>
          </cell>
          <cell r="B71" t="str">
            <v>S/COSTO</v>
          </cell>
        </row>
        <row r="72">
          <cell r="A72" t="str">
            <v>PRIMEROS AUXILIOS</v>
          </cell>
          <cell r="B72" t="str">
            <v>S/COSTO</v>
          </cell>
        </row>
        <row r="73">
          <cell r="A73" t="str">
            <v>MANEJO DE HOJAS DE CÁLCULO BÁSICO I</v>
          </cell>
          <cell r="B73" t="str">
            <v>S/COSTO</v>
          </cell>
        </row>
        <row r="74">
          <cell r="A74" t="str">
            <v xml:space="preserve">ÉTICA Y FELICIDAD </v>
          </cell>
          <cell r="B74" t="str">
            <v>S/COSTO</v>
          </cell>
        </row>
        <row r="75">
          <cell r="A75" t="str">
            <v>APROVECHA AL MÁXIMO TUS DISPOSITIVOS MÓVILES</v>
          </cell>
          <cell r="B75" t="str">
            <v>S/COSTO</v>
          </cell>
        </row>
        <row r="76">
          <cell r="A76" t="str">
            <v>SALUDABLEMENTE</v>
          </cell>
          <cell r="B76" t="str">
            <v>S/COSTO</v>
          </cell>
        </row>
        <row r="77">
          <cell r="A77" t="str">
            <v>MANEJO DE UCI EN PACIENTES CON COVID-19</v>
          </cell>
          <cell r="B77" t="str">
            <v>S/COSTO</v>
          </cell>
        </row>
        <row r="78">
          <cell r="A78" t="str">
            <v xml:space="preserve">COMO APROVECHAR LAS HERRAMIENTAS GRATUITAS DE GOOGLE </v>
          </cell>
          <cell r="B78" t="str">
            <v>S/COSTO</v>
          </cell>
        </row>
        <row r="79">
          <cell r="A79" t="str">
            <v xml:space="preserve">ESTRATEGIA EN EL AULA: PREVENCIÓN DE ADICCIONES. GUÍA PARA DOCENTES </v>
          </cell>
          <cell r="B79" t="str">
            <v>S/COSTO</v>
          </cell>
        </row>
        <row r="80">
          <cell r="A80" t="str">
            <v>CURADOR DE DATOS</v>
          </cell>
          <cell r="B80" t="str">
            <v>S/COSTO</v>
          </cell>
        </row>
        <row r="81">
          <cell r="A81" t="str">
            <v>CÁNCER DE PRÓSTATA: INFORMARSE Y DECIDIR TAMBIÉN ES DE HOMBRES</v>
          </cell>
          <cell r="B81" t="str">
            <v>S/COSTO</v>
          </cell>
        </row>
        <row r="82">
          <cell r="A82" t="str">
            <v>CÓMPUTO BÁSICO</v>
          </cell>
          <cell r="B82" t="str">
            <v>S/COSTO</v>
          </cell>
        </row>
        <row r="83">
          <cell r="A83" t="str">
            <v>ACTIVIDAD FÍSICA: RETORNO SEGURO</v>
          </cell>
          <cell r="B83" t="str">
            <v>S/COSTO</v>
          </cell>
        </row>
        <row r="84">
          <cell r="A84" t="str">
            <v>HABLEMOS DE SUSTANCIAS PSICOACTIVAS</v>
          </cell>
          <cell r="B84" t="str">
            <v>S/COSTO</v>
          </cell>
        </row>
        <row r="85">
          <cell r="A85" t="str">
            <v>TODOS POR UNA MOVILIDAD SEGURA</v>
          </cell>
          <cell r="B85" t="str">
            <v>S/COSTO</v>
          </cell>
        </row>
        <row r="86">
          <cell r="A86" t="str">
            <v>ACOSO ESCOLAR, VIOLENCIA ESCOLAR EN LA ESCUELA</v>
          </cell>
          <cell r="B86" t="str">
            <v>S/COSTO</v>
          </cell>
        </row>
        <row r="87">
          <cell r="A87" t="str">
            <v>¿CÓMO CONTROLAR MI ESTRÉS? ATENCIÓN A TRANSTORNOS DE ANSIEDAD</v>
          </cell>
          <cell r="B87" t="str">
            <v>S/COSTO</v>
          </cell>
        </row>
        <row r="88">
          <cell r="A88" t="str">
            <v>LA EPILEPSIA EN LA NIÑEZ, ¿UNA ENFERMEDAD RARA?</v>
          </cell>
          <cell r="B88" t="str">
            <v>S/COSTO</v>
          </cell>
        </row>
        <row r="89">
          <cell r="A89" t="str">
            <v>ESTILO DE VIDA Y DIABETES</v>
          </cell>
          <cell r="B89" t="str">
            <v>S/COSTO</v>
          </cell>
        </row>
        <row r="90">
          <cell r="A90" t="str">
            <v>PRIMERA AYUDA PSICOLÓGICA (PAP)</v>
          </cell>
          <cell r="B90" t="str">
            <v>S/COSTO</v>
          </cell>
        </row>
        <row r="91">
          <cell r="A91" t="str">
            <v>CRITERIOS DE APLICACIÓN PARA EL DESARROLLO DE AUDITORÍAS INTERNAS DE GESTIÓN DE LA CALIDAD DE LICONSA</v>
          </cell>
          <cell r="B91" t="str">
            <v>S/COSTO</v>
          </cell>
        </row>
        <row r="92">
          <cell r="A92" t="str">
            <v>PROMOTORES DE AMBIENTES LABORALES SALUDABLES</v>
          </cell>
          <cell r="B92" t="str">
            <v>S/COSTO</v>
          </cell>
        </row>
        <row r="93">
          <cell r="A93" t="str">
            <v>EL SERVICIO PÚBLICO, SERVIR MEJOR A LA SOCIEDAD</v>
          </cell>
          <cell r="B93" t="str">
            <v>S/COSTO</v>
          </cell>
        </row>
        <row r="94">
          <cell r="A94" t="str">
            <v>ABC DE ABORDAJE DEL CONSUMO DE SUSTANCIAS PSICOACTIVAS EN PRIMER NIVEL DE ATENCIÓN EN MÉXICO</v>
          </cell>
          <cell r="B94" t="str">
            <v>S/COSTO</v>
          </cell>
        </row>
        <row r="95">
          <cell r="A95" t="str">
            <v>VIRUELA SÍMICA</v>
          </cell>
          <cell r="B95" t="str">
            <v>S/COSTO</v>
          </cell>
        </row>
        <row r="96">
          <cell r="A96" t="str">
            <v xml:space="preserve">MÓDULO 1. EL PAPEL DE LAS GUARDERÍAS EN EL DESARROLLO INTEGRAL INFANTIL </v>
          </cell>
          <cell r="B96" t="str">
            <v>S/COSTO</v>
          </cell>
        </row>
        <row r="97">
          <cell r="A97" t="str">
            <v>HERRAMIENTAS BÁSICAS DE MICROSOFT OFFICE 2010. EXCEL</v>
          </cell>
          <cell r="B97" t="str">
            <v>S/COSTO</v>
          </cell>
        </row>
        <row r="98">
          <cell r="A98" t="str">
            <v>HERRAMIENTAS BÁSICAS DE MICROSOFT OFFICE 2010. WORD</v>
          </cell>
          <cell r="B98" t="str">
            <v>S/COSTO</v>
          </cell>
        </row>
        <row r="99">
          <cell r="A99" t="str">
            <v>EL PODER ESTÁ DENTRO DE TI</v>
          </cell>
          <cell r="B99" t="str">
            <v>S/COSTO</v>
          </cell>
        </row>
        <row r="100">
          <cell r="A100" t="str">
            <v>POSTURA DE PREVENCIÓN ANTE EL EMBARAZO ADOLESCENTE</v>
          </cell>
          <cell r="B100" t="str">
            <v>S/COSTO</v>
          </cell>
        </row>
        <row r="101">
          <cell r="A101" t="str">
            <v>GASTRONOMÍA MEXICANA: MITOS, TRADICIONES Y FESTEJOS</v>
          </cell>
          <cell r="B101" t="str">
            <v>S/COSTO</v>
          </cell>
        </row>
        <row r="102">
          <cell r="A102" t="str">
            <v>CLIMATERIO Y MENOPAUSIA: FOMENTANDO EL AUTOCONOCIMIENTO EN LA DIVERSIDAD</v>
          </cell>
          <cell r="B102" t="str">
            <v>S/COSTO</v>
          </cell>
        </row>
        <row r="103">
          <cell r="A103" t="str">
            <v>DECISIÓN SIN ADICCIÓN</v>
          </cell>
          <cell r="B103" t="str">
            <v>S/COSTO</v>
          </cell>
        </row>
        <row r="104">
          <cell r="A104" t="str">
            <v>COMPLICACIONES MÁS COMUNES EN LA DIABETES</v>
          </cell>
          <cell r="B104" t="str">
            <v>S/COSTO</v>
          </cell>
        </row>
        <row r="105">
          <cell r="A105" t="str">
            <v>ACTIVIDADES CULTURALES: RETORNO SEGURO</v>
          </cell>
          <cell r="B105" t="str">
            <v>S/COSTO</v>
          </cell>
        </row>
        <row r="106">
          <cell r="A106" t="str">
            <v>CONOCIENDO EL CICSLM</v>
          </cell>
          <cell r="B106" t="str">
            <v>S/COSTO</v>
          </cell>
        </row>
        <row r="107">
          <cell r="A107" t="str">
            <v xml:space="preserve">CUIDADO DE LOS RIÑONES. EVITA LA ENFERMEDAD RENAL CRÓNICA </v>
          </cell>
          <cell r="B107" t="str">
            <v>S/COSTO</v>
          </cell>
        </row>
        <row r="108">
          <cell r="A108" t="str">
            <v>PREVENCIÓN Y ATENCIÓN DEL ACOSO Y HOSTIGAMIENTO SEXUAL EN EL ÁMBITO LABORAL</v>
          </cell>
          <cell r="B108" t="str">
            <v>S/COSTO</v>
          </cell>
        </row>
        <row r="109">
          <cell r="A109" t="str">
            <v>CUIDADO DE LA SALUD MENTAL EN SITUACIONES DE EMERGENCIA</v>
          </cell>
          <cell r="B109" t="str">
            <v>S/COSTO</v>
          </cell>
        </row>
        <row r="110">
          <cell r="A110" t="str">
            <v>ENFOQUE DE DERECHOS HUMANOS EN EL SERVICIO PÚBLICO</v>
          </cell>
          <cell r="B110" t="str">
            <v>S/COSTO</v>
          </cell>
        </row>
        <row r="111">
          <cell r="A111" t="str">
            <v>PREVENCIÓN Y ATENCIÓN DE LA VIOLENCIA FAMILIAR Y SEXUAL CONTRA LAS MUJERES</v>
          </cell>
          <cell r="B111" t="str">
            <v>S/COSTO</v>
          </cell>
        </row>
        <row r="112">
          <cell r="A112" t="str">
            <v>AMENAZAS DIGITALES Y SEGURIDAD DE LA INFORMACIÓN</v>
          </cell>
          <cell r="B112" t="str">
            <v>S/COSTO</v>
          </cell>
        </row>
        <row r="113">
          <cell r="A113" t="str">
            <v>AUTOCUIDADO DE LOS PIES EN PERSONAS CON DIABETES</v>
          </cell>
          <cell r="B113" t="str">
            <v>S/COSTO</v>
          </cell>
        </row>
        <row r="114">
          <cell r="A114" t="str">
            <v>CONSEJOS ÚTILES PARA MADRES, PADRES Y CUIDADORES</v>
          </cell>
          <cell r="B114" t="str">
            <v>S/COSTO</v>
          </cell>
        </row>
        <row r="115">
          <cell r="A115" t="str">
            <v>AUTOCUIDADO: IMPORTANCIA DEL CUMPLIMIENTO AL TRATAMIENTO MÉDICO</v>
          </cell>
          <cell r="B115" t="str">
            <v>S/COSTO</v>
          </cell>
        </row>
        <row r="116">
          <cell r="A116" t="str">
            <v>GESTIÓN DOCUMENTAL EN LA ADMINISTRACIÓN PÚBLICA FEDERAL</v>
          </cell>
          <cell r="B116" t="str">
            <v>S/COSTO</v>
          </cell>
        </row>
        <row r="117">
          <cell r="A117" t="str">
            <v>MEJORA DEL CLIMA ORGANIZACIONAL EN LA ADMINISTRACIÓN PÚBLICA FEDERAL</v>
          </cell>
          <cell r="B117" t="str">
            <v>S/COSTO</v>
          </cell>
        </row>
        <row r="118">
          <cell r="A118" t="str">
            <v>USO DEL LENGUAJE INCLUYENTE Y NO SEXISTA: RECOMENDACIONES BÁSICAS</v>
          </cell>
          <cell r="B118" t="str">
            <v>S/COSTO</v>
          </cell>
        </row>
        <row r="119">
          <cell r="A119" t="str">
            <v>CUMPLIMIENTO DE LO PLANES Y PROGRAMAS DE CAPACITACIÓN Y ADIESTRAMIENTO</v>
          </cell>
          <cell r="B119" t="str">
            <v>S/COSTO</v>
          </cell>
        </row>
        <row r="120">
          <cell r="A120" t="str">
            <v>PREVENCIÓN Y DETECCIÓN OPORTUNA DEL MALTRATO INFANTIL</v>
          </cell>
          <cell r="B120" t="str">
            <v>S/COSTO</v>
          </cell>
        </row>
        <row r="121">
          <cell r="A121" t="str">
            <v>PROCEDIMIENTO GENÉRICO ACCIONES PARA ABORDAR RIESGOS Y OPORTUNIDADES</v>
          </cell>
          <cell r="B121" t="str">
            <v>S/COSTO</v>
          </cell>
        </row>
        <row r="122">
          <cell r="A122" t="str">
            <v>BITÁCORA ELECTRÓNICA DE SEGUIMIENTO DE ADQUISICIONES (BESA)</v>
          </cell>
          <cell r="B122" t="str">
            <v>S/COSTO</v>
          </cell>
        </row>
        <row r="123">
          <cell r="A123" t="str">
            <v>PROCEDIMIENTO GENÉRICO CONTROL DE LA INFORMACIÓN DOCUMENTADA</v>
          </cell>
          <cell r="B123" t="str">
            <v>S/COSTO</v>
          </cell>
        </row>
        <row r="124">
          <cell r="A124" t="str">
            <v>DECLARATORIAS DE INTENCIÓN DE LA ALTA DIRECCIÓN DEL SGCMLS 2025</v>
          </cell>
          <cell r="B124" t="str">
            <v>S/COSTO</v>
          </cell>
        </row>
        <row r="125">
          <cell r="A125" t="str">
            <v>REPORTE PERSONALIZADO DE COTIZACIÓN EN EL IMSS</v>
          </cell>
          <cell r="B125" t="str">
            <v>S/COSTO</v>
          </cell>
        </row>
        <row r="126">
          <cell r="A126" t="str">
            <v>CONTROL DE LA EXPOSICIÓN AL PLOMO</v>
          </cell>
          <cell r="B126" t="str">
            <v>S/COSTO</v>
          </cell>
        </row>
        <row r="127">
          <cell r="A127" t="str">
            <v>INTEGRIDAD, ÉTICA Y PREVENCIÓN DE RIESGOS</v>
          </cell>
          <cell r="B127" t="str">
            <v>S/COSTO</v>
          </cell>
        </row>
        <row r="128">
          <cell r="A128" t="str">
            <v>CUIDADO DE PERSONAS QUE CUIDAN</v>
          </cell>
          <cell r="B128" t="str">
            <v>S/COSTO</v>
          </cell>
        </row>
        <row r="129">
          <cell r="A129" t="str">
            <v>LACTANCIA MATERNA EN EMERGENCIAS</v>
          </cell>
          <cell r="B129" t="str">
            <v>S/COSTO</v>
          </cell>
        </row>
        <row r="130">
          <cell r="A130" t="str">
            <v>COMUNICACIÓN ASERTIVA EN EL ÁMBITO DEL SERVICIO PÚBLICO</v>
          </cell>
          <cell r="B130" t="str">
            <v>S/COSTO</v>
          </cell>
        </row>
        <row r="131">
          <cell r="A131" t="str">
            <v>LIDERAZGO Y MOTIVACIÓN PARA DIRECTIVOS EN EL SECTOR PÚBLICO</v>
          </cell>
          <cell r="B131" t="str">
            <v>S/COSTO</v>
          </cell>
        </row>
        <row r="132">
          <cell r="A132" t="str">
            <v>CURSO INTENSIVO DE PRUEBAS NEUROPSICOLÓGICAS</v>
          </cell>
          <cell r="B132" t="str">
            <v>S/COSTO</v>
          </cell>
        </row>
        <row r="133">
          <cell r="A133" t="str">
            <v>REDESCUBRIENDO AL IMSS</v>
          </cell>
          <cell r="B133" t="str">
            <v>S/COSTO</v>
          </cell>
        </row>
        <row r="134">
          <cell r="B134" t="str">
            <v>S/COSTO</v>
          </cell>
        </row>
        <row r="135">
          <cell r="B135" t="str">
            <v>S/COSTO</v>
          </cell>
        </row>
        <row r="136">
          <cell r="B136" t="str">
            <v>S/COSTO</v>
          </cell>
        </row>
        <row r="137">
          <cell r="B137" t="str">
            <v>S/COSTO</v>
          </cell>
        </row>
        <row r="138">
          <cell r="B138" t="str">
            <v>S/COSTO</v>
          </cell>
        </row>
        <row r="139">
          <cell r="B139" t="str">
            <v>S/COSTO</v>
          </cell>
        </row>
        <row r="140">
          <cell r="B140" t="str">
            <v>S/COSTO</v>
          </cell>
        </row>
        <row r="141">
          <cell r="B141" t="str">
            <v>S/COSTO</v>
          </cell>
        </row>
        <row r="142">
          <cell r="B142" t="str">
            <v>S/COSTO</v>
          </cell>
        </row>
        <row r="143">
          <cell r="B143" t="str">
            <v>S/COSTO</v>
          </cell>
        </row>
        <row r="144">
          <cell r="B144" t="str">
            <v>S/COSTO</v>
          </cell>
        </row>
        <row r="145">
          <cell r="B145" t="str">
            <v>S/COSTO</v>
          </cell>
        </row>
        <row r="146">
          <cell r="B146" t="str">
            <v>S/COSTO</v>
          </cell>
        </row>
        <row r="147">
          <cell r="B147" t="str">
            <v>S/COSTO</v>
          </cell>
        </row>
        <row r="148">
          <cell r="B148" t="str">
            <v>S/COSTO</v>
          </cell>
        </row>
        <row r="149">
          <cell r="B149" t="str">
            <v>S/COSTO</v>
          </cell>
        </row>
        <row r="150">
          <cell r="B150" t="str">
            <v>S/COSTO</v>
          </cell>
        </row>
        <row r="151">
          <cell r="B151" t="str">
            <v>S/COSTO</v>
          </cell>
        </row>
        <row r="152">
          <cell r="B152" t="str">
            <v>S/COSTO</v>
          </cell>
        </row>
        <row r="153">
          <cell r="B153" t="str">
            <v>S/COSTO</v>
          </cell>
        </row>
        <row r="154">
          <cell r="B154" t="str">
            <v>S/COSTO</v>
          </cell>
        </row>
        <row r="155">
          <cell r="B155" t="str">
            <v>S/COSTO</v>
          </cell>
        </row>
        <row r="156">
          <cell r="B156" t="str">
            <v>S/COSTO</v>
          </cell>
        </row>
        <row r="157">
          <cell r="B157" t="str">
            <v>S/COSTO</v>
          </cell>
        </row>
        <row r="158">
          <cell r="B158" t="str">
            <v>S/COSTO</v>
          </cell>
        </row>
        <row r="159">
          <cell r="B159" t="str">
            <v>S/COSTO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4"/>
  <sheetViews>
    <sheetView topLeftCell="A5" zoomScale="52" workbookViewId="0">
      <selection activeCell="A6" sqref="A6"/>
    </sheetView>
  </sheetViews>
  <sheetFormatPr baseColWidth="10" defaultRowHeight="21" x14ac:dyDescent="0.4"/>
  <cols>
    <col min="1" max="1" width="17.85546875" style="128" customWidth="1"/>
  </cols>
  <sheetData>
    <row r="1" spans="1:1" x14ac:dyDescent="0.4">
      <c r="A1" s="106"/>
    </row>
    <row r="2" spans="1:1" x14ac:dyDescent="0.4">
      <c r="A2" s="106"/>
    </row>
    <row r="3" spans="1:1" x14ac:dyDescent="0.4">
      <c r="A3" s="106"/>
    </row>
    <row r="4" spans="1:1" x14ac:dyDescent="0.4">
      <c r="A4" s="106"/>
    </row>
    <row r="5" spans="1:1" x14ac:dyDescent="0.4">
      <c r="A5" s="107">
        <v>80185</v>
      </c>
    </row>
    <row r="6" spans="1:1" x14ac:dyDescent="0.4">
      <c r="A6" s="107">
        <v>205737</v>
      </c>
    </row>
    <row r="7" spans="1:1" x14ac:dyDescent="0.4">
      <c r="A7" s="108">
        <v>206105</v>
      </c>
    </row>
    <row r="8" spans="1:1" x14ac:dyDescent="0.4">
      <c r="A8" s="107">
        <v>20985</v>
      </c>
    </row>
    <row r="9" spans="1:1" x14ac:dyDescent="0.4">
      <c r="A9" s="107">
        <v>5055</v>
      </c>
    </row>
    <row r="10" spans="1:1" x14ac:dyDescent="0.4">
      <c r="A10" s="107">
        <v>206295</v>
      </c>
    </row>
    <row r="11" spans="1:1" x14ac:dyDescent="0.4">
      <c r="A11" s="107">
        <v>206297</v>
      </c>
    </row>
    <row r="12" spans="1:1" x14ac:dyDescent="0.4">
      <c r="A12" s="107">
        <v>206252</v>
      </c>
    </row>
    <row r="13" spans="1:1" x14ac:dyDescent="0.4">
      <c r="A13" s="107">
        <v>6325</v>
      </c>
    </row>
    <row r="14" spans="1:1" x14ac:dyDescent="0.4">
      <c r="A14" s="107">
        <v>206309</v>
      </c>
    </row>
    <row r="15" spans="1:1" x14ac:dyDescent="0.4">
      <c r="A15" s="107">
        <v>206310</v>
      </c>
    </row>
    <row r="16" spans="1:1" x14ac:dyDescent="0.4">
      <c r="A16" s="107">
        <v>206317</v>
      </c>
    </row>
    <row r="17" spans="1:1" x14ac:dyDescent="0.4">
      <c r="A17" s="107">
        <v>206298</v>
      </c>
    </row>
    <row r="18" spans="1:1" x14ac:dyDescent="0.4">
      <c r="A18" s="108">
        <v>206264</v>
      </c>
    </row>
    <row r="19" spans="1:1" x14ac:dyDescent="0.4">
      <c r="A19" s="108">
        <v>206269</v>
      </c>
    </row>
    <row r="20" spans="1:1" x14ac:dyDescent="0.4">
      <c r="A20" s="108">
        <v>206278</v>
      </c>
    </row>
    <row r="21" spans="1:1" x14ac:dyDescent="0.4">
      <c r="A21" s="108">
        <v>206313</v>
      </c>
    </row>
    <row r="22" spans="1:1" x14ac:dyDescent="0.4">
      <c r="A22" s="108">
        <v>206108</v>
      </c>
    </row>
    <row r="23" spans="1:1" x14ac:dyDescent="0.4">
      <c r="A23" s="108">
        <v>6190</v>
      </c>
    </row>
    <row r="24" spans="1:1" x14ac:dyDescent="0.4">
      <c r="A24" s="107">
        <v>206225</v>
      </c>
    </row>
    <row r="25" spans="1:1" x14ac:dyDescent="0.4">
      <c r="A25" s="107">
        <v>3325</v>
      </c>
    </row>
    <row r="26" spans="1:1" x14ac:dyDescent="0.4">
      <c r="A26" s="107">
        <v>3282</v>
      </c>
    </row>
    <row r="27" spans="1:1" x14ac:dyDescent="0.4">
      <c r="A27" s="107">
        <v>3726</v>
      </c>
    </row>
    <row r="28" spans="1:1" x14ac:dyDescent="0.4">
      <c r="A28" s="107">
        <v>1780</v>
      </c>
    </row>
    <row r="29" spans="1:1" x14ac:dyDescent="0.4">
      <c r="A29" s="107">
        <v>3952</v>
      </c>
    </row>
    <row r="30" spans="1:1" x14ac:dyDescent="0.25">
      <c r="A30" s="109">
        <v>2033</v>
      </c>
    </row>
    <row r="31" spans="1:1" x14ac:dyDescent="0.4">
      <c r="A31" s="110">
        <v>20520</v>
      </c>
    </row>
    <row r="32" spans="1:1" x14ac:dyDescent="0.4">
      <c r="A32" s="110">
        <v>206114</v>
      </c>
    </row>
    <row r="33" spans="1:1" x14ac:dyDescent="0.4">
      <c r="A33" s="110">
        <v>5551</v>
      </c>
    </row>
    <row r="34" spans="1:1" x14ac:dyDescent="0.4">
      <c r="A34" s="110">
        <v>205854</v>
      </c>
    </row>
    <row r="35" spans="1:1" x14ac:dyDescent="0.4">
      <c r="A35" s="110">
        <v>205879</v>
      </c>
    </row>
    <row r="36" spans="1:1" x14ac:dyDescent="0.4">
      <c r="A36" s="110">
        <v>5888</v>
      </c>
    </row>
    <row r="37" spans="1:1" x14ac:dyDescent="0.4">
      <c r="A37" s="110">
        <v>5914</v>
      </c>
    </row>
    <row r="38" spans="1:1" x14ac:dyDescent="0.4">
      <c r="A38" s="110">
        <v>80183</v>
      </c>
    </row>
    <row r="39" spans="1:1" x14ac:dyDescent="0.4">
      <c r="A39" s="110">
        <v>205309</v>
      </c>
    </row>
    <row r="40" spans="1:1" x14ac:dyDescent="0.4">
      <c r="A40" s="111">
        <v>206273</v>
      </c>
    </row>
    <row r="41" spans="1:1" x14ac:dyDescent="0.4">
      <c r="A41" s="110">
        <v>1253</v>
      </c>
    </row>
    <row r="42" spans="1:1" x14ac:dyDescent="0.4">
      <c r="A42" s="110">
        <v>5884</v>
      </c>
    </row>
    <row r="43" spans="1:1" x14ac:dyDescent="0.4">
      <c r="A43" s="110">
        <v>3788</v>
      </c>
    </row>
    <row r="44" spans="1:1" x14ac:dyDescent="0.4">
      <c r="A44" s="110">
        <v>3704</v>
      </c>
    </row>
    <row r="45" spans="1:1" x14ac:dyDescent="0.4">
      <c r="A45" s="110">
        <v>3513</v>
      </c>
    </row>
    <row r="46" spans="1:1" x14ac:dyDescent="0.4">
      <c r="A46" s="110">
        <v>3135</v>
      </c>
    </row>
    <row r="47" spans="1:1" x14ac:dyDescent="0.4">
      <c r="A47" s="110">
        <v>3137</v>
      </c>
    </row>
    <row r="48" spans="1:1" x14ac:dyDescent="0.4">
      <c r="A48" s="110">
        <v>3142</v>
      </c>
    </row>
    <row r="49" spans="1:1" x14ac:dyDescent="0.4">
      <c r="A49" s="110">
        <v>3158</v>
      </c>
    </row>
    <row r="50" spans="1:1" x14ac:dyDescent="0.4">
      <c r="A50" s="110">
        <v>3482</v>
      </c>
    </row>
    <row r="51" spans="1:1" x14ac:dyDescent="0.4">
      <c r="A51" s="110">
        <v>3341</v>
      </c>
    </row>
    <row r="52" spans="1:1" x14ac:dyDescent="0.4">
      <c r="A52" s="110">
        <v>3087</v>
      </c>
    </row>
    <row r="53" spans="1:1" x14ac:dyDescent="0.4">
      <c r="A53" s="110">
        <v>3908</v>
      </c>
    </row>
    <row r="54" spans="1:1" x14ac:dyDescent="0.4">
      <c r="A54" s="110">
        <v>3725</v>
      </c>
    </row>
    <row r="55" spans="1:1" x14ac:dyDescent="0.4">
      <c r="A55" s="110">
        <v>206245</v>
      </c>
    </row>
    <row r="56" spans="1:1" x14ac:dyDescent="0.4">
      <c r="A56" s="110">
        <v>206214</v>
      </c>
    </row>
    <row r="57" spans="1:1" x14ac:dyDescent="0.4">
      <c r="A57" s="110">
        <v>206781</v>
      </c>
    </row>
    <row r="58" spans="1:1" x14ac:dyDescent="0.4">
      <c r="A58" s="110">
        <v>207683</v>
      </c>
    </row>
    <row r="59" spans="1:1" x14ac:dyDescent="0.4">
      <c r="A59" s="110">
        <v>205895</v>
      </c>
    </row>
    <row r="60" spans="1:1" x14ac:dyDescent="0.4">
      <c r="A60" s="110">
        <v>205502</v>
      </c>
    </row>
    <row r="61" spans="1:1" x14ac:dyDescent="0.4">
      <c r="A61" s="110">
        <v>206026</v>
      </c>
    </row>
    <row r="62" spans="1:1" x14ac:dyDescent="0.25">
      <c r="A62" s="112">
        <v>206315</v>
      </c>
    </row>
    <row r="63" spans="1:1" x14ac:dyDescent="0.4">
      <c r="A63" s="111">
        <v>6178</v>
      </c>
    </row>
    <row r="64" spans="1:1" x14ac:dyDescent="0.4">
      <c r="A64" s="110">
        <v>5811</v>
      </c>
    </row>
    <row r="65" spans="1:1" x14ac:dyDescent="0.4">
      <c r="A65" s="110">
        <v>5875</v>
      </c>
    </row>
    <row r="66" spans="1:1" x14ac:dyDescent="0.4">
      <c r="A66" s="110">
        <v>5788</v>
      </c>
    </row>
    <row r="67" spans="1:1" x14ac:dyDescent="0.4">
      <c r="A67" s="110">
        <v>205974</v>
      </c>
    </row>
    <row r="68" spans="1:1" x14ac:dyDescent="0.4">
      <c r="A68" s="110">
        <v>205948</v>
      </c>
    </row>
    <row r="69" spans="1:1" x14ac:dyDescent="0.4">
      <c r="A69" s="110">
        <v>205816</v>
      </c>
    </row>
    <row r="70" spans="1:1" x14ac:dyDescent="0.4">
      <c r="A70" s="110">
        <v>205768</v>
      </c>
    </row>
    <row r="71" spans="1:1" x14ac:dyDescent="0.4">
      <c r="A71" s="110">
        <v>205753</v>
      </c>
    </row>
    <row r="72" spans="1:1" x14ac:dyDescent="0.4">
      <c r="A72" s="110">
        <v>205924</v>
      </c>
    </row>
    <row r="73" spans="1:1" x14ac:dyDescent="0.4">
      <c r="A73" s="110">
        <v>205839</v>
      </c>
    </row>
    <row r="74" spans="1:1" x14ac:dyDescent="0.4">
      <c r="A74" s="110">
        <v>205305</v>
      </c>
    </row>
    <row r="75" spans="1:1" x14ac:dyDescent="0.4">
      <c r="A75" s="110">
        <v>206236</v>
      </c>
    </row>
    <row r="76" spans="1:1" x14ac:dyDescent="0.4">
      <c r="A76" s="110">
        <v>206229</v>
      </c>
    </row>
    <row r="77" spans="1:1" x14ac:dyDescent="0.4">
      <c r="A77" s="113">
        <v>205934</v>
      </c>
    </row>
    <row r="78" spans="1:1" x14ac:dyDescent="0.4">
      <c r="A78" s="110">
        <v>205851</v>
      </c>
    </row>
    <row r="79" spans="1:1" x14ac:dyDescent="0.4">
      <c r="A79" s="110">
        <v>205106</v>
      </c>
    </row>
    <row r="80" spans="1:1" x14ac:dyDescent="0.4">
      <c r="A80" s="110">
        <v>206056</v>
      </c>
    </row>
    <row r="81" spans="1:1" x14ac:dyDescent="0.4">
      <c r="A81" s="110">
        <v>5098</v>
      </c>
    </row>
    <row r="82" spans="1:1" x14ac:dyDescent="0.4">
      <c r="A82" s="114" t="s">
        <v>500</v>
      </c>
    </row>
    <row r="83" spans="1:1" x14ac:dyDescent="0.4">
      <c r="A83" s="110">
        <v>427</v>
      </c>
    </row>
    <row r="84" spans="1:1" x14ac:dyDescent="0.4">
      <c r="A84" s="110">
        <v>6058</v>
      </c>
    </row>
    <row r="85" spans="1:1" x14ac:dyDescent="0.4">
      <c r="A85" s="110">
        <v>5913</v>
      </c>
    </row>
    <row r="86" spans="1:1" x14ac:dyDescent="0.25">
      <c r="A86" s="112">
        <v>6283</v>
      </c>
    </row>
    <row r="87" spans="1:1" x14ac:dyDescent="0.4">
      <c r="A87" s="110">
        <v>555</v>
      </c>
    </row>
    <row r="88" spans="1:1" x14ac:dyDescent="0.4">
      <c r="A88" s="110">
        <v>205454</v>
      </c>
    </row>
    <row r="89" spans="1:1" x14ac:dyDescent="0.4">
      <c r="A89" s="110">
        <v>5803</v>
      </c>
    </row>
    <row r="90" spans="1:1" x14ac:dyDescent="0.4">
      <c r="A90" s="110">
        <v>5949</v>
      </c>
    </row>
    <row r="91" spans="1:1" x14ac:dyDescent="0.4">
      <c r="A91" s="110">
        <v>303</v>
      </c>
    </row>
    <row r="92" spans="1:1" x14ac:dyDescent="0.4">
      <c r="A92" s="110">
        <v>5537</v>
      </c>
    </row>
    <row r="93" spans="1:1" x14ac:dyDescent="0.4">
      <c r="A93" s="110">
        <v>6218</v>
      </c>
    </row>
    <row r="94" spans="1:1" x14ac:dyDescent="0.4">
      <c r="A94" s="110">
        <v>5352</v>
      </c>
    </row>
    <row r="95" spans="1:1" x14ac:dyDescent="0.4">
      <c r="A95" s="110">
        <v>205846</v>
      </c>
    </row>
    <row r="96" spans="1:1" x14ac:dyDescent="0.4">
      <c r="A96" s="110">
        <v>5933</v>
      </c>
    </row>
    <row r="97" spans="1:1" x14ac:dyDescent="0.4">
      <c r="A97" s="110">
        <v>5852</v>
      </c>
    </row>
    <row r="98" spans="1:1" x14ac:dyDescent="0.4">
      <c r="A98" s="115">
        <v>20548</v>
      </c>
    </row>
    <row r="99" spans="1:1" x14ac:dyDescent="0.4">
      <c r="A99" s="110">
        <v>20241</v>
      </c>
    </row>
    <row r="100" spans="1:1" x14ac:dyDescent="0.4">
      <c r="A100" s="110">
        <v>20306</v>
      </c>
    </row>
    <row r="101" spans="1:1" x14ac:dyDescent="0.4">
      <c r="A101" s="110">
        <v>20440</v>
      </c>
    </row>
    <row r="102" spans="1:1" x14ac:dyDescent="0.4">
      <c r="A102" s="110">
        <v>20869</v>
      </c>
    </row>
    <row r="103" spans="1:1" x14ac:dyDescent="0.4">
      <c r="A103" s="110">
        <v>205499</v>
      </c>
    </row>
    <row r="104" spans="1:1" x14ac:dyDescent="0.4">
      <c r="A104" s="115">
        <v>206047</v>
      </c>
    </row>
    <row r="105" spans="1:1" x14ac:dyDescent="0.4">
      <c r="A105" s="110">
        <v>5721</v>
      </c>
    </row>
    <row r="106" spans="1:1" x14ac:dyDescent="0.4">
      <c r="A106" s="115">
        <v>206095</v>
      </c>
    </row>
    <row r="107" spans="1:1" x14ac:dyDescent="0.4">
      <c r="A107" s="115">
        <v>205476</v>
      </c>
    </row>
    <row r="108" spans="1:1" x14ac:dyDescent="0.4">
      <c r="A108" s="115">
        <v>205984</v>
      </c>
    </row>
    <row r="109" spans="1:1" x14ac:dyDescent="0.4">
      <c r="A109" s="115">
        <v>206000</v>
      </c>
    </row>
    <row r="110" spans="1:1" x14ac:dyDescent="0.4">
      <c r="A110" s="110">
        <v>206203</v>
      </c>
    </row>
    <row r="111" spans="1:1" x14ac:dyDescent="0.4">
      <c r="A111" s="115">
        <v>205905</v>
      </c>
    </row>
    <row r="112" spans="1:1" x14ac:dyDescent="0.4">
      <c r="A112" s="115">
        <v>206012</v>
      </c>
    </row>
    <row r="113" spans="1:1" x14ac:dyDescent="0.4">
      <c r="A113" s="115">
        <v>206109</v>
      </c>
    </row>
    <row r="114" spans="1:1" x14ac:dyDescent="0.4">
      <c r="A114" s="110">
        <v>206040</v>
      </c>
    </row>
    <row r="115" spans="1:1" x14ac:dyDescent="0.4">
      <c r="A115" s="110">
        <v>206187</v>
      </c>
    </row>
    <row r="116" spans="1:1" x14ac:dyDescent="0.4">
      <c r="A116" s="110">
        <v>206111</v>
      </c>
    </row>
    <row r="117" spans="1:1" x14ac:dyDescent="0.4">
      <c r="A117" s="110">
        <v>205899</v>
      </c>
    </row>
    <row r="118" spans="1:1" x14ac:dyDescent="0.4">
      <c r="A118" s="110">
        <v>20940</v>
      </c>
    </row>
    <row r="119" spans="1:1" x14ac:dyDescent="0.4">
      <c r="A119" s="110">
        <v>205978</v>
      </c>
    </row>
    <row r="120" spans="1:1" x14ac:dyDescent="0.4">
      <c r="A120" s="110">
        <v>20814</v>
      </c>
    </row>
    <row r="121" spans="1:1" x14ac:dyDescent="0.4">
      <c r="A121" s="116">
        <v>20162</v>
      </c>
    </row>
    <row r="122" spans="1:1" x14ac:dyDescent="0.4">
      <c r="A122" s="110">
        <v>20192</v>
      </c>
    </row>
    <row r="123" spans="1:1" x14ac:dyDescent="0.4">
      <c r="A123" s="110">
        <v>205828</v>
      </c>
    </row>
    <row r="124" spans="1:1" x14ac:dyDescent="0.4">
      <c r="A124" s="110">
        <v>205732</v>
      </c>
    </row>
    <row r="125" spans="1:1" x14ac:dyDescent="0.4">
      <c r="A125" s="110">
        <v>20193</v>
      </c>
    </row>
    <row r="126" spans="1:1" x14ac:dyDescent="0.4">
      <c r="A126" s="110">
        <v>205818</v>
      </c>
    </row>
    <row r="127" spans="1:1" x14ac:dyDescent="0.4">
      <c r="A127" s="110">
        <v>20328</v>
      </c>
    </row>
    <row r="128" spans="1:1" x14ac:dyDescent="0.4">
      <c r="A128" s="110">
        <v>206089</v>
      </c>
    </row>
    <row r="129" spans="1:1" x14ac:dyDescent="0.4">
      <c r="A129" s="110">
        <v>205972</v>
      </c>
    </row>
    <row r="130" spans="1:1" x14ac:dyDescent="0.4">
      <c r="A130" s="110">
        <v>20636</v>
      </c>
    </row>
    <row r="131" spans="1:1" x14ac:dyDescent="0.4">
      <c r="A131" s="110">
        <v>20807</v>
      </c>
    </row>
    <row r="132" spans="1:1" x14ac:dyDescent="0.4">
      <c r="A132" s="110">
        <v>205888</v>
      </c>
    </row>
    <row r="133" spans="1:1" x14ac:dyDescent="0.4">
      <c r="A133" s="110">
        <v>20850</v>
      </c>
    </row>
    <row r="134" spans="1:1" x14ac:dyDescent="0.4">
      <c r="A134" s="110">
        <v>206205</v>
      </c>
    </row>
    <row r="135" spans="1:1" x14ac:dyDescent="0.4">
      <c r="A135" s="110">
        <v>20842</v>
      </c>
    </row>
    <row r="136" spans="1:1" x14ac:dyDescent="0.4">
      <c r="A136" s="110">
        <v>205635</v>
      </c>
    </row>
    <row r="137" spans="1:1" x14ac:dyDescent="0.4">
      <c r="A137" s="110">
        <v>205904</v>
      </c>
    </row>
    <row r="138" spans="1:1" x14ac:dyDescent="0.4">
      <c r="A138" s="110">
        <v>205485</v>
      </c>
    </row>
    <row r="139" spans="1:1" x14ac:dyDescent="0.25">
      <c r="A139" s="117">
        <v>20848</v>
      </c>
    </row>
    <row r="140" spans="1:1" x14ac:dyDescent="0.4">
      <c r="A140" s="110">
        <v>205813</v>
      </c>
    </row>
    <row r="141" spans="1:1" x14ac:dyDescent="0.4">
      <c r="A141" s="110">
        <v>205477</v>
      </c>
    </row>
    <row r="142" spans="1:1" x14ac:dyDescent="0.4">
      <c r="A142" s="110">
        <v>205602</v>
      </c>
    </row>
    <row r="143" spans="1:1" x14ac:dyDescent="0.4">
      <c r="A143" s="110">
        <v>205556</v>
      </c>
    </row>
    <row r="144" spans="1:1" x14ac:dyDescent="0.4">
      <c r="A144" s="110">
        <v>20117</v>
      </c>
    </row>
    <row r="145" spans="1:1" x14ac:dyDescent="0.4">
      <c r="A145" s="110">
        <v>20118</v>
      </c>
    </row>
    <row r="146" spans="1:1" x14ac:dyDescent="0.4">
      <c r="A146" s="110">
        <v>20249</v>
      </c>
    </row>
    <row r="147" spans="1:1" x14ac:dyDescent="0.4">
      <c r="A147" s="110">
        <v>206005</v>
      </c>
    </row>
    <row r="148" spans="1:1" x14ac:dyDescent="0.4">
      <c r="A148" s="110">
        <v>20682</v>
      </c>
    </row>
    <row r="149" spans="1:1" x14ac:dyDescent="0.4">
      <c r="A149" s="110">
        <v>206088</v>
      </c>
    </row>
    <row r="150" spans="1:1" x14ac:dyDescent="0.4">
      <c r="A150" s="110">
        <v>205796</v>
      </c>
    </row>
    <row r="151" spans="1:1" x14ac:dyDescent="0.4">
      <c r="A151" s="110">
        <v>205844</v>
      </c>
    </row>
    <row r="152" spans="1:1" x14ac:dyDescent="0.4">
      <c r="A152" s="110">
        <v>205997</v>
      </c>
    </row>
    <row r="153" spans="1:1" x14ac:dyDescent="0.4">
      <c r="A153" s="110">
        <v>205762</v>
      </c>
    </row>
    <row r="154" spans="1:1" x14ac:dyDescent="0.4">
      <c r="A154" s="110">
        <v>205941</v>
      </c>
    </row>
    <row r="155" spans="1:1" x14ac:dyDescent="0.4">
      <c r="A155" s="110">
        <v>205990</v>
      </c>
    </row>
    <row r="156" spans="1:1" x14ac:dyDescent="0.4">
      <c r="A156" s="110">
        <v>20221</v>
      </c>
    </row>
    <row r="157" spans="1:1" x14ac:dyDescent="0.4">
      <c r="A157" s="110">
        <v>205489</v>
      </c>
    </row>
    <row r="158" spans="1:1" x14ac:dyDescent="0.4">
      <c r="A158" s="110">
        <v>205604</v>
      </c>
    </row>
    <row r="159" spans="1:1" x14ac:dyDescent="0.4">
      <c r="A159" s="110">
        <v>20190</v>
      </c>
    </row>
    <row r="160" spans="1:1" x14ac:dyDescent="0.4">
      <c r="A160" s="110">
        <v>20447</v>
      </c>
    </row>
    <row r="161" spans="1:1" x14ac:dyDescent="0.4">
      <c r="A161" s="110">
        <v>206094</v>
      </c>
    </row>
    <row r="162" spans="1:1" x14ac:dyDescent="0.4">
      <c r="A162" s="110">
        <v>205583</v>
      </c>
    </row>
    <row r="163" spans="1:1" x14ac:dyDescent="0.4">
      <c r="A163" s="110">
        <v>206204</v>
      </c>
    </row>
    <row r="164" spans="1:1" x14ac:dyDescent="0.4">
      <c r="A164" s="110">
        <v>205957</v>
      </c>
    </row>
    <row r="165" spans="1:1" x14ac:dyDescent="0.4">
      <c r="A165" s="118">
        <v>206272</v>
      </c>
    </row>
    <row r="166" spans="1:1" x14ac:dyDescent="0.4">
      <c r="A166" s="110">
        <v>205932</v>
      </c>
    </row>
    <row r="167" spans="1:1" x14ac:dyDescent="0.4">
      <c r="A167" s="110">
        <v>206206</v>
      </c>
    </row>
    <row r="168" spans="1:1" x14ac:dyDescent="0.4">
      <c r="A168" s="118">
        <v>206184</v>
      </c>
    </row>
    <row r="169" spans="1:1" x14ac:dyDescent="0.4">
      <c r="A169" s="110">
        <v>205979</v>
      </c>
    </row>
    <row r="170" spans="1:1" x14ac:dyDescent="0.4">
      <c r="A170" s="110">
        <v>20227</v>
      </c>
    </row>
    <row r="171" spans="1:1" x14ac:dyDescent="0.4">
      <c r="A171" s="110">
        <v>20465</v>
      </c>
    </row>
    <row r="172" spans="1:1" x14ac:dyDescent="0.4">
      <c r="A172" s="118">
        <v>206266</v>
      </c>
    </row>
    <row r="173" spans="1:1" x14ac:dyDescent="0.4">
      <c r="A173" s="110">
        <v>205484</v>
      </c>
    </row>
    <row r="174" spans="1:1" x14ac:dyDescent="0.4">
      <c r="A174" s="110">
        <v>205881</v>
      </c>
    </row>
    <row r="175" spans="1:1" x14ac:dyDescent="0.4">
      <c r="A175" s="110">
        <v>205835</v>
      </c>
    </row>
    <row r="176" spans="1:1" x14ac:dyDescent="0.4">
      <c r="A176" s="110">
        <v>205998</v>
      </c>
    </row>
    <row r="177" spans="1:1" x14ac:dyDescent="0.4">
      <c r="A177" s="110">
        <v>205910</v>
      </c>
    </row>
    <row r="178" spans="1:1" x14ac:dyDescent="0.4">
      <c r="A178" s="110">
        <v>206120</v>
      </c>
    </row>
    <row r="179" spans="1:1" x14ac:dyDescent="0.4">
      <c r="A179" s="110">
        <v>205791</v>
      </c>
    </row>
    <row r="180" spans="1:1" x14ac:dyDescent="0.4">
      <c r="A180" s="110">
        <v>206083</v>
      </c>
    </row>
    <row r="181" spans="1:1" x14ac:dyDescent="0.4">
      <c r="A181" s="110">
        <v>205832</v>
      </c>
    </row>
    <row r="182" spans="1:1" x14ac:dyDescent="0.4">
      <c r="A182" s="110">
        <v>206239</v>
      </c>
    </row>
    <row r="183" spans="1:1" x14ac:dyDescent="0.4">
      <c r="A183" s="110">
        <v>206240</v>
      </c>
    </row>
    <row r="184" spans="1:1" x14ac:dyDescent="0.4">
      <c r="A184" s="110">
        <v>205798</v>
      </c>
    </row>
    <row r="185" spans="1:1" x14ac:dyDescent="0.4">
      <c r="A185" s="110">
        <v>205597</v>
      </c>
    </row>
    <row r="186" spans="1:1" x14ac:dyDescent="0.4">
      <c r="A186" s="110">
        <v>205758</v>
      </c>
    </row>
    <row r="187" spans="1:1" x14ac:dyDescent="0.4">
      <c r="A187" s="110">
        <v>206075</v>
      </c>
    </row>
    <row r="188" spans="1:1" x14ac:dyDescent="0.4">
      <c r="A188" s="118">
        <v>206265</v>
      </c>
    </row>
    <row r="189" spans="1:1" x14ac:dyDescent="0.25">
      <c r="A189" s="119">
        <v>206268</v>
      </c>
    </row>
    <row r="190" spans="1:1" x14ac:dyDescent="0.4">
      <c r="A190" s="107">
        <v>20191</v>
      </c>
    </row>
    <row r="191" spans="1:1" x14ac:dyDescent="0.4">
      <c r="A191" s="107">
        <v>5456</v>
      </c>
    </row>
    <row r="192" spans="1:1" x14ac:dyDescent="0.4">
      <c r="A192" s="107">
        <v>206249</v>
      </c>
    </row>
    <row r="193" spans="1:1" x14ac:dyDescent="0.4">
      <c r="A193" s="110">
        <v>206251</v>
      </c>
    </row>
    <row r="194" spans="1:1" x14ac:dyDescent="0.4">
      <c r="A194" s="107">
        <v>205426</v>
      </c>
    </row>
    <row r="195" spans="1:1" x14ac:dyDescent="0.4">
      <c r="A195" s="107">
        <v>206323</v>
      </c>
    </row>
    <row r="196" spans="1:1" x14ac:dyDescent="0.4">
      <c r="A196" s="107">
        <v>952</v>
      </c>
    </row>
    <row r="197" spans="1:1" x14ac:dyDescent="0.4">
      <c r="A197" s="107">
        <v>5633</v>
      </c>
    </row>
    <row r="198" spans="1:1" x14ac:dyDescent="0.4">
      <c r="A198" s="107">
        <v>206166</v>
      </c>
    </row>
    <row r="199" spans="1:1" x14ac:dyDescent="0.4">
      <c r="A199" s="107">
        <v>5121</v>
      </c>
    </row>
    <row r="200" spans="1:1" x14ac:dyDescent="0.4">
      <c r="A200" s="107">
        <v>5580</v>
      </c>
    </row>
    <row r="201" spans="1:1" x14ac:dyDescent="0.4">
      <c r="A201" s="107">
        <v>6096</v>
      </c>
    </row>
    <row r="202" spans="1:1" x14ac:dyDescent="0.4">
      <c r="A202" s="107">
        <v>6188</v>
      </c>
    </row>
    <row r="203" spans="1:1" x14ac:dyDescent="0.4">
      <c r="A203" s="107">
        <v>206065</v>
      </c>
    </row>
    <row r="204" spans="1:1" x14ac:dyDescent="0.25">
      <c r="A204" s="109">
        <v>3911</v>
      </c>
    </row>
    <row r="205" spans="1:1" x14ac:dyDescent="0.25">
      <c r="A205" s="109">
        <v>1993</v>
      </c>
    </row>
    <row r="206" spans="1:1" x14ac:dyDescent="0.25">
      <c r="A206" s="109">
        <v>3993</v>
      </c>
    </row>
    <row r="207" spans="1:1" x14ac:dyDescent="0.25">
      <c r="A207" s="109">
        <v>3997</v>
      </c>
    </row>
    <row r="208" spans="1:1" x14ac:dyDescent="0.4">
      <c r="A208" s="107">
        <v>3888</v>
      </c>
    </row>
    <row r="209" spans="1:1" x14ac:dyDescent="0.4">
      <c r="A209" s="107">
        <v>3893</v>
      </c>
    </row>
    <row r="210" spans="1:1" x14ac:dyDescent="0.4">
      <c r="A210" s="107">
        <v>3866</v>
      </c>
    </row>
    <row r="211" spans="1:1" x14ac:dyDescent="0.4">
      <c r="A211" s="107">
        <v>3850</v>
      </c>
    </row>
    <row r="212" spans="1:1" x14ac:dyDescent="0.4">
      <c r="A212" s="107">
        <v>3891</v>
      </c>
    </row>
    <row r="213" spans="1:1" x14ac:dyDescent="0.4">
      <c r="A213" s="107">
        <v>5702</v>
      </c>
    </row>
    <row r="214" spans="1:1" x14ac:dyDescent="0.4">
      <c r="A214" s="107">
        <v>3353</v>
      </c>
    </row>
    <row r="215" spans="1:1" x14ac:dyDescent="0.4">
      <c r="A215" s="107">
        <v>20151</v>
      </c>
    </row>
    <row r="216" spans="1:1" x14ac:dyDescent="0.4">
      <c r="A216" s="107">
        <v>5747</v>
      </c>
    </row>
    <row r="217" spans="1:1" x14ac:dyDescent="0.4">
      <c r="A217" s="107">
        <v>1835</v>
      </c>
    </row>
    <row r="218" spans="1:1" x14ac:dyDescent="0.4">
      <c r="A218" s="107">
        <v>3575</v>
      </c>
    </row>
    <row r="219" spans="1:1" x14ac:dyDescent="0.4">
      <c r="A219" s="107">
        <v>3551</v>
      </c>
    </row>
    <row r="220" spans="1:1" x14ac:dyDescent="0.4">
      <c r="A220" s="107">
        <v>3478</v>
      </c>
    </row>
    <row r="221" spans="1:1" x14ac:dyDescent="0.4">
      <c r="A221" s="107">
        <v>3683</v>
      </c>
    </row>
    <row r="222" spans="1:1" x14ac:dyDescent="0.4">
      <c r="A222" s="107">
        <v>3271</v>
      </c>
    </row>
    <row r="223" spans="1:1" x14ac:dyDescent="0.4">
      <c r="A223" s="107">
        <v>206247</v>
      </c>
    </row>
    <row r="224" spans="1:1" x14ac:dyDescent="0.4">
      <c r="A224" s="107">
        <v>3849</v>
      </c>
    </row>
    <row r="225" spans="1:1" x14ac:dyDescent="0.4">
      <c r="A225" s="107">
        <v>3614</v>
      </c>
    </row>
    <row r="226" spans="1:1" x14ac:dyDescent="0.4">
      <c r="A226" s="120">
        <v>205646</v>
      </c>
    </row>
    <row r="227" spans="1:1" x14ac:dyDescent="0.4">
      <c r="A227" s="107">
        <v>3154</v>
      </c>
    </row>
    <row r="228" spans="1:1" x14ac:dyDescent="0.4">
      <c r="A228" s="107">
        <v>3151</v>
      </c>
    </row>
    <row r="229" spans="1:1" x14ac:dyDescent="0.4">
      <c r="A229" s="107">
        <v>1356</v>
      </c>
    </row>
    <row r="230" spans="1:1" x14ac:dyDescent="0.25">
      <c r="A230" s="109">
        <v>20425</v>
      </c>
    </row>
    <row r="231" spans="1:1" x14ac:dyDescent="0.4">
      <c r="A231" s="107">
        <v>3290</v>
      </c>
    </row>
    <row r="232" spans="1:1" x14ac:dyDescent="0.4">
      <c r="A232" s="121">
        <v>1277</v>
      </c>
    </row>
    <row r="233" spans="1:1" x14ac:dyDescent="0.4">
      <c r="A233" s="107">
        <v>205673</v>
      </c>
    </row>
    <row r="234" spans="1:1" x14ac:dyDescent="0.4">
      <c r="A234" s="107">
        <v>6284</v>
      </c>
    </row>
    <row r="235" spans="1:1" x14ac:dyDescent="0.4">
      <c r="A235" s="107">
        <v>5159</v>
      </c>
    </row>
    <row r="236" spans="1:1" x14ac:dyDescent="0.4">
      <c r="A236" s="107">
        <v>6342</v>
      </c>
    </row>
    <row r="237" spans="1:1" x14ac:dyDescent="0.4">
      <c r="A237" s="107">
        <v>3591</v>
      </c>
    </row>
    <row r="238" spans="1:1" x14ac:dyDescent="0.4">
      <c r="A238" s="107">
        <v>20853</v>
      </c>
    </row>
    <row r="239" spans="1:1" x14ac:dyDescent="0.4">
      <c r="A239" s="107">
        <v>1299</v>
      </c>
    </row>
    <row r="240" spans="1:1" x14ac:dyDescent="0.4">
      <c r="A240" s="107">
        <v>3592</v>
      </c>
    </row>
    <row r="241" spans="1:1" x14ac:dyDescent="0.4">
      <c r="A241" s="121">
        <v>3570</v>
      </c>
    </row>
    <row r="242" spans="1:1" x14ac:dyDescent="0.4">
      <c r="A242" s="107">
        <v>1881</v>
      </c>
    </row>
    <row r="243" spans="1:1" x14ac:dyDescent="0.4">
      <c r="A243" s="122">
        <v>3150</v>
      </c>
    </row>
    <row r="244" spans="1:1" x14ac:dyDescent="0.4">
      <c r="A244" s="107">
        <v>3147</v>
      </c>
    </row>
    <row r="245" spans="1:1" x14ac:dyDescent="0.4">
      <c r="A245" s="107">
        <v>3711</v>
      </c>
    </row>
    <row r="246" spans="1:1" x14ac:dyDescent="0.4">
      <c r="A246" s="107">
        <v>3689</v>
      </c>
    </row>
    <row r="247" spans="1:1" x14ac:dyDescent="0.4">
      <c r="A247" s="107">
        <v>3665</v>
      </c>
    </row>
    <row r="248" spans="1:1" x14ac:dyDescent="0.25">
      <c r="A248" s="123">
        <v>3969</v>
      </c>
    </row>
    <row r="249" spans="1:1" x14ac:dyDescent="0.25">
      <c r="A249" s="109">
        <v>3917</v>
      </c>
    </row>
    <row r="250" spans="1:1" x14ac:dyDescent="0.25">
      <c r="A250" s="109">
        <v>3991</v>
      </c>
    </row>
    <row r="251" spans="1:1" x14ac:dyDescent="0.4">
      <c r="A251" s="107">
        <v>3590</v>
      </c>
    </row>
    <row r="252" spans="1:1" x14ac:dyDescent="0.4">
      <c r="A252" s="107">
        <v>3722</v>
      </c>
    </row>
    <row r="253" spans="1:1" x14ac:dyDescent="0.4">
      <c r="A253" s="107">
        <v>3769</v>
      </c>
    </row>
    <row r="254" spans="1:1" x14ac:dyDescent="0.4">
      <c r="A254" s="107">
        <v>3605</v>
      </c>
    </row>
    <row r="255" spans="1:1" x14ac:dyDescent="0.4">
      <c r="A255" s="107">
        <v>3731</v>
      </c>
    </row>
    <row r="256" spans="1:1" x14ac:dyDescent="0.4">
      <c r="A256" s="107">
        <v>3004</v>
      </c>
    </row>
    <row r="257" spans="1:1" x14ac:dyDescent="0.4">
      <c r="A257" s="107">
        <v>3550</v>
      </c>
    </row>
    <row r="258" spans="1:1" x14ac:dyDescent="0.4">
      <c r="A258" s="107">
        <v>5516</v>
      </c>
    </row>
    <row r="259" spans="1:1" x14ac:dyDescent="0.4">
      <c r="A259" s="107">
        <v>3677</v>
      </c>
    </row>
    <row r="260" spans="1:1" x14ac:dyDescent="0.4">
      <c r="A260" s="107">
        <v>1778</v>
      </c>
    </row>
    <row r="261" spans="1:1" x14ac:dyDescent="0.4">
      <c r="A261" s="107">
        <v>1822</v>
      </c>
    </row>
    <row r="262" spans="1:1" x14ac:dyDescent="0.4">
      <c r="A262" s="107">
        <v>1799</v>
      </c>
    </row>
    <row r="263" spans="1:1" x14ac:dyDescent="0.4">
      <c r="A263" s="107">
        <v>3284</v>
      </c>
    </row>
    <row r="264" spans="1:1" x14ac:dyDescent="0.4">
      <c r="A264" s="107">
        <v>1452</v>
      </c>
    </row>
    <row r="265" spans="1:1" x14ac:dyDescent="0.4">
      <c r="A265" s="107">
        <v>3601</v>
      </c>
    </row>
    <row r="266" spans="1:1" x14ac:dyDescent="0.4">
      <c r="A266" s="107">
        <v>3396</v>
      </c>
    </row>
    <row r="267" spans="1:1" x14ac:dyDescent="0.4">
      <c r="A267" s="107">
        <v>3833</v>
      </c>
    </row>
    <row r="268" spans="1:1" x14ac:dyDescent="0.4">
      <c r="A268" s="107">
        <v>3810</v>
      </c>
    </row>
    <row r="269" spans="1:1" x14ac:dyDescent="0.4">
      <c r="A269" s="107">
        <v>3865</v>
      </c>
    </row>
    <row r="270" spans="1:1" x14ac:dyDescent="0.4">
      <c r="A270" s="107">
        <v>3827</v>
      </c>
    </row>
    <row r="271" spans="1:1" x14ac:dyDescent="0.4">
      <c r="A271" s="107">
        <v>3864</v>
      </c>
    </row>
    <row r="272" spans="1:1" x14ac:dyDescent="0.4">
      <c r="A272" s="107">
        <v>3892</v>
      </c>
    </row>
    <row r="273" spans="1:1" x14ac:dyDescent="0.4">
      <c r="A273" s="107">
        <v>3860</v>
      </c>
    </row>
    <row r="274" spans="1:1" x14ac:dyDescent="0.4">
      <c r="A274" s="107">
        <v>3600</v>
      </c>
    </row>
    <row r="275" spans="1:1" x14ac:dyDescent="0.25">
      <c r="A275" s="109">
        <v>3931</v>
      </c>
    </row>
    <row r="276" spans="1:1" x14ac:dyDescent="0.25">
      <c r="A276" s="109">
        <v>3939</v>
      </c>
    </row>
    <row r="277" spans="1:1" x14ac:dyDescent="0.4">
      <c r="A277" s="107">
        <v>3156</v>
      </c>
    </row>
    <row r="278" spans="1:1" x14ac:dyDescent="0.4">
      <c r="A278" s="107">
        <v>3663</v>
      </c>
    </row>
    <row r="279" spans="1:1" x14ac:dyDescent="0.4">
      <c r="A279" s="107">
        <v>3611</v>
      </c>
    </row>
    <row r="280" spans="1:1" x14ac:dyDescent="0.4">
      <c r="A280" s="107">
        <v>3649</v>
      </c>
    </row>
    <row r="281" spans="1:1" x14ac:dyDescent="0.4">
      <c r="A281" s="107">
        <v>3580</v>
      </c>
    </row>
    <row r="282" spans="1:1" x14ac:dyDescent="0.4">
      <c r="A282" s="107">
        <v>3719</v>
      </c>
    </row>
    <row r="283" spans="1:1" x14ac:dyDescent="0.4">
      <c r="A283" s="107">
        <v>3964</v>
      </c>
    </row>
    <row r="284" spans="1:1" x14ac:dyDescent="0.4">
      <c r="A284" s="107">
        <v>3978</v>
      </c>
    </row>
    <row r="285" spans="1:1" x14ac:dyDescent="0.4">
      <c r="A285" s="107">
        <v>3745</v>
      </c>
    </row>
    <row r="286" spans="1:1" x14ac:dyDescent="0.4">
      <c r="A286" s="107">
        <v>3661</v>
      </c>
    </row>
    <row r="287" spans="1:1" x14ac:dyDescent="0.4">
      <c r="A287" s="107">
        <v>3807</v>
      </c>
    </row>
    <row r="288" spans="1:1" x14ac:dyDescent="0.4">
      <c r="A288" s="107">
        <v>3781</v>
      </c>
    </row>
    <row r="289" spans="1:1" x14ac:dyDescent="0.4">
      <c r="A289" s="107">
        <v>206086</v>
      </c>
    </row>
    <row r="290" spans="1:1" x14ac:dyDescent="0.4">
      <c r="A290" s="107">
        <v>20323</v>
      </c>
    </row>
    <row r="291" spans="1:1" x14ac:dyDescent="0.4">
      <c r="A291" s="107">
        <v>602</v>
      </c>
    </row>
    <row r="292" spans="1:1" x14ac:dyDescent="0.4">
      <c r="A292" s="107">
        <v>20284</v>
      </c>
    </row>
    <row r="293" spans="1:1" x14ac:dyDescent="0.4">
      <c r="A293" s="107">
        <v>6071</v>
      </c>
    </row>
    <row r="294" spans="1:1" x14ac:dyDescent="0.4">
      <c r="A294" s="107">
        <v>20460</v>
      </c>
    </row>
    <row r="295" spans="1:1" x14ac:dyDescent="0.4">
      <c r="A295" s="107">
        <v>206031</v>
      </c>
    </row>
    <row r="296" spans="1:1" x14ac:dyDescent="0.4">
      <c r="A296" s="107">
        <v>1511</v>
      </c>
    </row>
    <row r="297" spans="1:1" x14ac:dyDescent="0.4">
      <c r="A297" s="107">
        <v>3462</v>
      </c>
    </row>
    <row r="298" spans="1:1" x14ac:dyDescent="0.4">
      <c r="A298" s="107">
        <v>206126</v>
      </c>
    </row>
    <row r="299" spans="1:1" x14ac:dyDescent="0.4">
      <c r="A299" s="106">
        <v>3272</v>
      </c>
    </row>
    <row r="300" spans="1:1" x14ac:dyDescent="0.4">
      <c r="A300" s="107">
        <v>1977</v>
      </c>
    </row>
    <row r="301" spans="1:1" x14ac:dyDescent="0.4">
      <c r="A301" s="107">
        <v>3133</v>
      </c>
    </row>
    <row r="302" spans="1:1" x14ac:dyDescent="0.4">
      <c r="A302" s="107">
        <v>1693</v>
      </c>
    </row>
    <row r="303" spans="1:1" x14ac:dyDescent="0.4">
      <c r="A303" s="107">
        <v>1510</v>
      </c>
    </row>
    <row r="304" spans="1:1" x14ac:dyDescent="0.4">
      <c r="A304" s="106">
        <v>3361</v>
      </c>
    </row>
    <row r="305" spans="1:1" x14ac:dyDescent="0.4">
      <c r="A305" s="107">
        <v>3363</v>
      </c>
    </row>
    <row r="306" spans="1:1" x14ac:dyDescent="0.4">
      <c r="A306" s="107">
        <v>205944</v>
      </c>
    </row>
    <row r="307" spans="1:1" x14ac:dyDescent="0.4">
      <c r="A307" s="107">
        <v>6013</v>
      </c>
    </row>
    <row r="308" spans="1:1" x14ac:dyDescent="0.4">
      <c r="A308" s="107">
        <v>5795</v>
      </c>
    </row>
    <row r="309" spans="1:1" x14ac:dyDescent="0.4">
      <c r="A309" s="107">
        <v>3960</v>
      </c>
    </row>
    <row r="310" spans="1:1" x14ac:dyDescent="0.4">
      <c r="A310" s="107">
        <v>2010</v>
      </c>
    </row>
    <row r="311" spans="1:1" x14ac:dyDescent="0.4">
      <c r="A311" s="107">
        <v>2015</v>
      </c>
    </row>
    <row r="312" spans="1:1" x14ac:dyDescent="0.4">
      <c r="A312" s="107">
        <v>2041</v>
      </c>
    </row>
    <row r="313" spans="1:1" x14ac:dyDescent="0.4">
      <c r="A313" s="107">
        <v>3946</v>
      </c>
    </row>
    <row r="314" spans="1:1" x14ac:dyDescent="0.4">
      <c r="A314" s="107">
        <v>2006</v>
      </c>
    </row>
    <row r="315" spans="1:1" x14ac:dyDescent="0.25">
      <c r="A315" s="109">
        <v>2011</v>
      </c>
    </row>
    <row r="316" spans="1:1" x14ac:dyDescent="0.25">
      <c r="A316" s="109">
        <v>1998</v>
      </c>
    </row>
    <row r="317" spans="1:1" x14ac:dyDescent="0.25">
      <c r="A317" s="109">
        <v>2014</v>
      </c>
    </row>
    <row r="318" spans="1:1" x14ac:dyDescent="0.25">
      <c r="A318" s="109">
        <v>3982</v>
      </c>
    </row>
    <row r="319" spans="1:1" x14ac:dyDescent="0.25">
      <c r="A319" s="109">
        <v>3980</v>
      </c>
    </row>
    <row r="320" spans="1:1" x14ac:dyDescent="0.25">
      <c r="A320" s="109">
        <v>2004</v>
      </c>
    </row>
    <row r="321" spans="1:1" x14ac:dyDescent="0.25">
      <c r="A321" s="109">
        <v>4000</v>
      </c>
    </row>
    <row r="322" spans="1:1" x14ac:dyDescent="0.25">
      <c r="A322" s="109">
        <v>3963</v>
      </c>
    </row>
    <row r="323" spans="1:1" x14ac:dyDescent="0.25">
      <c r="A323" s="109">
        <v>2018</v>
      </c>
    </row>
    <row r="324" spans="1:1" x14ac:dyDescent="0.25">
      <c r="A324" s="109">
        <v>2044</v>
      </c>
    </row>
    <row r="325" spans="1:1" x14ac:dyDescent="0.25">
      <c r="A325" s="109">
        <v>2024</v>
      </c>
    </row>
    <row r="326" spans="1:1" x14ac:dyDescent="0.25">
      <c r="A326" s="109">
        <v>3989</v>
      </c>
    </row>
    <row r="327" spans="1:1" x14ac:dyDescent="0.25">
      <c r="A327" s="109">
        <v>3896</v>
      </c>
    </row>
    <row r="328" spans="1:1" x14ac:dyDescent="0.25">
      <c r="A328" s="109">
        <v>2020</v>
      </c>
    </row>
    <row r="329" spans="1:1" x14ac:dyDescent="0.25">
      <c r="A329" s="109">
        <v>1992</v>
      </c>
    </row>
    <row r="330" spans="1:1" x14ac:dyDescent="0.25">
      <c r="A330" s="109">
        <v>2025</v>
      </c>
    </row>
    <row r="331" spans="1:1" x14ac:dyDescent="0.25">
      <c r="A331" s="109">
        <v>1990</v>
      </c>
    </row>
    <row r="332" spans="1:1" x14ac:dyDescent="0.25">
      <c r="A332" s="109">
        <v>3996</v>
      </c>
    </row>
    <row r="333" spans="1:1" x14ac:dyDescent="0.25">
      <c r="A333" s="109">
        <v>3951</v>
      </c>
    </row>
    <row r="334" spans="1:1" x14ac:dyDescent="0.25">
      <c r="A334" s="109">
        <v>2005</v>
      </c>
    </row>
    <row r="335" spans="1:1" x14ac:dyDescent="0.25">
      <c r="A335" s="109">
        <v>2042</v>
      </c>
    </row>
    <row r="336" spans="1:1" x14ac:dyDescent="0.25">
      <c r="A336" s="109">
        <v>2003</v>
      </c>
    </row>
    <row r="337" spans="1:1" x14ac:dyDescent="0.25">
      <c r="A337" s="109">
        <v>2021</v>
      </c>
    </row>
    <row r="338" spans="1:1" x14ac:dyDescent="0.25">
      <c r="A338" s="109">
        <v>2036</v>
      </c>
    </row>
    <row r="339" spans="1:1" x14ac:dyDescent="0.25">
      <c r="A339" s="109">
        <v>3992</v>
      </c>
    </row>
    <row r="340" spans="1:1" x14ac:dyDescent="0.25">
      <c r="A340" s="109">
        <v>2043</v>
      </c>
    </row>
    <row r="341" spans="1:1" x14ac:dyDescent="0.25">
      <c r="A341" s="109">
        <v>2009</v>
      </c>
    </row>
    <row r="342" spans="1:1" x14ac:dyDescent="0.25">
      <c r="A342" s="109">
        <v>3986</v>
      </c>
    </row>
    <row r="343" spans="1:1" x14ac:dyDescent="0.25">
      <c r="A343" s="109">
        <v>2000</v>
      </c>
    </row>
    <row r="344" spans="1:1" x14ac:dyDescent="0.25">
      <c r="A344" s="109">
        <v>2040</v>
      </c>
    </row>
    <row r="345" spans="1:1" x14ac:dyDescent="0.25">
      <c r="A345" s="109">
        <v>1994</v>
      </c>
    </row>
    <row r="346" spans="1:1" x14ac:dyDescent="0.4">
      <c r="A346" s="107">
        <v>3974</v>
      </c>
    </row>
    <row r="347" spans="1:1" x14ac:dyDescent="0.4">
      <c r="A347" s="124" t="s">
        <v>1728</v>
      </c>
    </row>
    <row r="348" spans="1:1" x14ac:dyDescent="0.4">
      <c r="A348" s="107">
        <v>3970</v>
      </c>
    </row>
    <row r="349" spans="1:1" x14ac:dyDescent="0.4">
      <c r="A349" s="107">
        <v>2028</v>
      </c>
    </row>
    <row r="350" spans="1:1" x14ac:dyDescent="0.25">
      <c r="A350" s="109">
        <v>1997</v>
      </c>
    </row>
    <row r="351" spans="1:1" x14ac:dyDescent="0.25">
      <c r="A351" s="109">
        <v>3973</v>
      </c>
    </row>
    <row r="352" spans="1:1" x14ac:dyDescent="0.4">
      <c r="A352" s="107">
        <v>3979</v>
      </c>
    </row>
    <row r="353" spans="1:1" x14ac:dyDescent="0.4">
      <c r="A353" s="107">
        <v>3990</v>
      </c>
    </row>
    <row r="354" spans="1:1" x14ac:dyDescent="0.4">
      <c r="A354" s="107">
        <v>2029</v>
      </c>
    </row>
    <row r="355" spans="1:1" x14ac:dyDescent="0.4">
      <c r="A355" s="107">
        <v>3897</v>
      </c>
    </row>
    <row r="356" spans="1:1" x14ac:dyDescent="0.4">
      <c r="A356" s="107">
        <v>2030</v>
      </c>
    </row>
    <row r="357" spans="1:1" x14ac:dyDescent="0.25">
      <c r="A357" s="109">
        <v>2019</v>
      </c>
    </row>
    <row r="358" spans="1:1" x14ac:dyDescent="0.4">
      <c r="A358" s="107">
        <v>2023</v>
      </c>
    </row>
    <row r="359" spans="1:1" x14ac:dyDescent="0.4">
      <c r="A359" s="107">
        <v>3967</v>
      </c>
    </row>
    <row r="360" spans="1:1" x14ac:dyDescent="0.4">
      <c r="A360" s="120">
        <v>3919</v>
      </c>
    </row>
    <row r="361" spans="1:1" x14ac:dyDescent="0.4">
      <c r="A361" s="107">
        <v>2031</v>
      </c>
    </row>
    <row r="362" spans="1:1" x14ac:dyDescent="0.4">
      <c r="A362" s="107">
        <v>2032</v>
      </c>
    </row>
    <row r="363" spans="1:1" x14ac:dyDescent="0.4">
      <c r="A363" s="107">
        <v>3739</v>
      </c>
    </row>
    <row r="364" spans="1:1" x14ac:dyDescent="0.4">
      <c r="A364" s="106">
        <v>3806</v>
      </c>
    </row>
    <row r="365" spans="1:1" x14ac:dyDescent="0.4">
      <c r="A365" s="107">
        <v>3803</v>
      </c>
    </row>
    <row r="366" spans="1:1" x14ac:dyDescent="0.4">
      <c r="A366" s="122">
        <v>3965</v>
      </c>
    </row>
    <row r="367" spans="1:1" x14ac:dyDescent="0.4">
      <c r="A367" s="107">
        <v>3914</v>
      </c>
    </row>
    <row r="368" spans="1:1" x14ac:dyDescent="0.25">
      <c r="A368" s="109">
        <v>3938</v>
      </c>
    </row>
    <row r="369" spans="1:1" x14ac:dyDescent="0.4">
      <c r="A369" s="107">
        <v>3984</v>
      </c>
    </row>
    <row r="370" spans="1:1" x14ac:dyDescent="0.4">
      <c r="A370" s="107">
        <v>3854</v>
      </c>
    </row>
    <row r="371" spans="1:1" x14ac:dyDescent="0.4">
      <c r="A371" s="107">
        <v>3930</v>
      </c>
    </row>
    <row r="372" spans="1:1" x14ac:dyDescent="0.4">
      <c r="A372" s="120">
        <v>3937</v>
      </c>
    </row>
    <row r="373" spans="1:1" x14ac:dyDescent="0.4">
      <c r="A373" s="107">
        <v>3921</v>
      </c>
    </row>
    <row r="374" spans="1:1" x14ac:dyDescent="0.4">
      <c r="A374" s="107">
        <v>3966</v>
      </c>
    </row>
    <row r="375" spans="1:1" x14ac:dyDescent="0.4">
      <c r="A375" s="107">
        <v>3947</v>
      </c>
    </row>
    <row r="376" spans="1:1" x14ac:dyDescent="0.25">
      <c r="A376" s="109">
        <v>3983</v>
      </c>
    </row>
    <row r="377" spans="1:1" x14ac:dyDescent="0.4">
      <c r="A377" s="107">
        <v>3957</v>
      </c>
    </row>
    <row r="378" spans="1:1" x14ac:dyDescent="0.4">
      <c r="A378" s="107">
        <v>3714</v>
      </c>
    </row>
    <row r="379" spans="1:1" x14ac:dyDescent="0.4">
      <c r="A379" s="107">
        <v>3985</v>
      </c>
    </row>
    <row r="380" spans="1:1" x14ac:dyDescent="0.4">
      <c r="A380" s="122">
        <v>3927</v>
      </c>
    </row>
    <row r="381" spans="1:1" x14ac:dyDescent="0.4">
      <c r="A381" s="107">
        <v>3961</v>
      </c>
    </row>
    <row r="382" spans="1:1" x14ac:dyDescent="0.4">
      <c r="A382" s="107">
        <v>3976</v>
      </c>
    </row>
    <row r="383" spans="1:1" x14ac:dyDescent="0.4">
      <c r="A383" s="107">
        <v>3688</v>
      </c>
    </row>
    <row r="384" spans="1:1" x14ac:dyDescent="0.4">
      <c r="A384" s="107">
        <v>3873</v>
      </c>
    </row>
    <row r="385" spans="1:1" x14ac:dyDescent="0.4">
      <c r="A385" s="107">
        <v>3987</v>
      </c>
    </row>
    <row r="386" spans="1:1" x14ac:dyDescent="0.4">
      <c r="A386" s="107">
        <v>3988</v>
      </c>
    </row>
    <row r="387" spans="1:1" x14ac:dyDescent="0.4">
      <c r="A387" s="107">
        <v>3830</v>
      </c>
    </row>
    <row r="388" spans="1:1" x14ac:dyDescent="0.4">
      <c r="A388" s="107">
        <v>3527</v>
      </c>
    </row>
    <row r="389" spans="1:1" x14ac:dyDescent="0.4">
      <c r="A389" s="107">
        <v>3923</v>
      </c>
    </row>
    <row r="390" spans="1:1" x14ac:dyDescent="0.4">
      <c r="A390" s="107">
        <v>3802</v>
      </c>
    </row>
    <row r="391" spans="1:1" x14ac:dyDescent="0.4">
      <c r="A391" s="107">
        <v>3901</v>
      </c>
    </row>
    <row r="392" spans="1:1" x14ac:dyDescent="0.4">
      <c r="A392" s="107">
        <v>3871</v>
      </c>
    </row>
    <row r="393" spans="1:1" x14ac:dyDescent="0.4">
      <c r="A393" s="107">
        <v>3863</v>
      </c>
    </row>
    <row r="394" spans="1:1" x14ac:dyDescent="0.4">
      <c r="A394" s="107">
        <v>3858</v>
      </c>
    </row>
    <row r="395" spans="1:1" x14ac:dyDescent="0.4">
      <c r="A395" s="107">
        <v>3845</v>
      </c>
    </row>
    <row r="396" spans="1:1" x14ac:dyDescent="0.4">
      <c r="A396" s="107">
        <v>3857</v>
      </c>
    </row>
    <row r="397" spans="1:1" x14ac:dyDescent="0.4">
      <c r="A397" s="107">
        <v>3839</v>
      </c>
    </row>
    <row r="398" spans="1:1" x14ac:dyDescent="0.4">
      <c r="A398" s="107">
        <v>3834</v>
      </c>
    </row>
    <row r="399" spans="1:1" x14ac:dyDescent="0.4">
      <c r="A399" s="107">
        <v>3913</v>
      </c>
    </row>
    <row r="400" spans="1:1" x14ac:dyDescent="0.4">
      <c r="A400" s="107">
        <v>3880</v>
      </c>
    </row>
    <row r="401" spans="1:1" x14ac:dyDescent="0.4">
      <c r="A401" s="107">
        <v>3851</v>
      </c>
    </row>
    <row r="402" spans="1:1" x14ac:dyDescent="0.4">
      <c r="A402" s="107">
        <v>3846</v>
      </c>
    </row>
    <row r="403" spans="1:1" x14ac:dyDescent="0.4">
      <c r="A403" s="107">
        <v>3528</v>
      </c>
    </row>
    <row r="404" spans="1:1" x14ac:dyDescent="0.4">
      <c r="A404" s="106">
        <v>3510</v>
      </c>
    </row>
    <row r="405" spans="1:1" x14ac:dyDescent="0.4">
      <c r="A405" s="107">
        <v>3507</v>
      </c>
    </row>
    <row r="406" spans="1:1" x14ac:dyDescent="0.4">
      <c r="A406" s="107">
        <v>3741</v>
      </c>
    </row>
    <row r="407" spans="1:1" x14ac:dyDescent="0.4">
      <c r="A407" s="107">
        <v>2017</v>
      </c>
    </row>
    <row r="408" spans="1:1" x14ac:dyDescent="0.4">
      <c r="A408" s="107">
        <v>3406</v>
      </c>
    </row>
    <row r="409" spans="1:1" x14ac:dyDescent="0.4">
      <c r="A409" s="107">
        <v>3779</v>
      </c>
    </row>
    <row r="410" spans="1:1" x14ac:dyDescent="0.4">
      <c r="A410" s="107">
        <v>3399</v>
      </c>
    </row>
    <row r="411" spans="1:1" x14ac:dyDescent="0.4">
      <c r="A411" s="107">
        <v>3735</v>
      </c>
    </row>
    <row r="412" spans="1:1" x14ac:dyDescent="0.4">
      <c r="A412" s="107">
        <v>3756</v>
      </c>
    </row>
    <row r="413" spans="1:1" x14ac:dyDescent="0.4">
      <c r="A413" s="107">
        <v>3733</v>
      </c>
    </row>
    <row r="414" spans="1:1" x14ac:dyDescent="0.4">
      <c r="A414" s="107">
        <v>3521</v>
      </c>
    </row>
    <row r="415" spans="1:1" x14ac:dyDescent="0.4">
      <c r="A415" s="107">
        <v>3360</v>
      </c>
    </row>
    <row r="416" spans="1:1" x14ac:dyDescent="0.4">
      <c r="A416" s="107">
        <v>3537</v>
      </c>
    </row>
    <row r="417" spans="1:1" x14ac:dyDescent="0.25">
      <c r="A417" s="109">
        <v>3934</v>
      </c>
    </row>
    <row r="418" spans="1:1" x14ac:dyDescent="0.4">
      <c r="A418" s="107">
        <v>3320</v>
      </c>
    </row>
    <row r="419" spans="1:1" x14ac:dyDescent="0.4">
      <c r="A419" s="107">
        <v>1678</v>
      </c>
    </row>
    <row r="420" spans="1:1" x14ac:dyDescent="0.4">
      <c r="A420" s="107">
        <v>3651</v>
      </c>
    </row>
    <row r="421" spans="1:1" x14ac:dyDescent="0.4">
      <c r="A421" s="107">
        <v>3822</v>
      </c>
    </row>
    <row r="422" spans="1:1" x14ac:dyDescent="0.4">
      <c r="A422" s="107">
        <v>3753</v>
      </c>
    </row>
    <row r="423" spans="1:1" x14ac:dyDescent="0.4">
      <c r="A423" s="107">
        <v>3766</v>
      </c>
    </row>
    <row r="424" spans="1:1" x14ac:dyDescent="0.4">
      <c r="A424" s="107">
        <v>1634</v>
      </c>
    </row>
    <row r="425" spans="1:1" x14ac:dyDescent="0.4">
      <c r="A425" s="107">
        <v>3097</v>
      </c>
    </row>
    <row r="426" spans="1:1" x14ac:dyDescent="0.4">
      <c r="A426" s="122">
        <v>3642</v>
      </c>
    </row>
    <row r="427" spans="1:1" x14ac:dyDescent="0.4">
      <c r="A427" s="106">
        <v>3758</v>
      </c>
    </row>
    <row r="428" spans="1:1" x14ac:dyDescent="0.4">
      <c r="A428" s="107">
        <v>3243</v>
      </c>
    </row>
    <row r="429" spans="1:1" x14ac:dyDescent="0.4">
      <c r="A429" s="107">
        <v>3798</v>
      </c>
    </row>
    <row r="430" spans="1:1" x14ac:dyDescent="0.4">
      <c r="A430" s="107">
        <v>3218</v>
      </c>
    </row>
    <row r="431" spans="1:1" x14ac:dyDescent="0.4">
      <c r="A431" s="107">
        <v>3448</v>
      </c>
    </row>
    <row r="432" spans="1:1" x14ac:dyDescent="0.4">
      <c r="A432" s="107">
        <v>3715</v>
      </c>
    </row>
    <row r="433" spans="1:1" x14ac:dyDescent="0.4">
      <c r="A433" s="107">
        <v>3186</v>
      </c>
    </row>
    <row r="434" spans="1:1" x14ac:dyDescent="0.4">
      <c r="A434" s="107">
        <v>3717</v>
      </c>
    </row>
    <row r="435" spans="1:1" x14ac:dyDescent="0.4">
      <c r="A435" s="107">
        <v>3096</v>
      </c>
    </row>
    <row r="436" spans="1:1" x14ac:dyDescent="0.4">
      <c r="A436" s="107">
        <v>3092</v>
      </c>
    </row>
    <row r="437" spans="1:1" x14ac:dyDescent="0.4">
      <c r="A437" s="107">
        <v>206254</v>
      </c>
    </row>
    <row r="438" spans="1:1" x14ac:dyDescent="0.4">
      <c r="A438" s="107">
        <v>3327</v>
      </c>
    </row>
    <row r="439" spans="1:1" x14ac:dyDescent="0.4">
      <c r="A439" s="107">
        <v>3602</v>
      </c>
    </row>
    <row r="440" spans="1:1" x14ac:dyDescent="0.4">
      <c r="A440" s="107">
        <v>1852</v>
      </c>
    </row>
    <row r="441" spans="1:1" x14ac:dyDescent="0.4">
      <c r="A441" s="107">
        <v>3621</v>
      </c>
    </row>
    <row r="442" spans="1:1" x14ac:dyDescent="0.4">
      <c r="A442" s="107">
        <v>3697</v>
      </c>
    </row>
    <row r="443" spans="1:1" x14ac:dyDescent="0.4">
      <c r="A443" s="107">
        <v>3657</v>
      </c>
    </row>
    <row r="444" spans="1:1" x14ac:dyDescent="0.4">
      <c r="A444" s="107">
        <v>3710</v>
      </c>
    </row>
    <row r="445" spans="1:1" x14ac:dyDescent="0.4">
      <c r="A445" s="107">
        <v>1696</v>
      </c>
    </row>
    <row r="446" spans="1:1" x14ac:dyDescent="0.4">
      <c r="A446" s="107">
        <v>1653</v>
      </c>
    </row>
    <row r="447" spans="1:1" x14ac:dyDescent="0.4">
      <c r="A447" s="107">
        <v>1538</v>
      </c>
    </row>
    <row r="448" spans="1:1" x14ac:dyDescent="0.4">
      <c r="A448" s="107">
        <v>1482</v>
      </c>
    </row>
    <row r="449" spans="1:1" x14ac:dyDescent="0.4">
      <c r="A449" s="107">
        <v>1440</v>
      </c>
    </row>
    <row r="450" spans="1:1" x14ac:dyDescent="0.4">
      <c r="A450" s="107">
        <v>1435</v>
      </c>
    </row>
    <row r="451" spans="1:1" x14ac:dyDescent="0.4">
      <c r="A451" s="107">
        <v>1432</v>
      </c>
    </row>
    <row r="452" spans="1:1" x14ac:dyDescent="0.4">
      <c r="A452" s="107">
        <v>3582</v>
      </c>
    </row>
    <row r="453" spans="1:1" x14ac:dyDescent="0.4">
      <c r="A453" s="107">
        <v>3659</v>
      </c>
    </row>
    <row r="454" spans="1:1" x14ac:dyDescent="0.4">
      <c r="A454" s="107">
        <v>3746</v>
      </c>
    </row>
    <row r="455" spans="1:1" x14ac:dyDescent="0.4">
      <c r="A455" s="107">
        <v>1222</v>
      </c>
    </row>
    <row r="456" spans="1:1" x14ac:dyDescent="0.4">
      <c r="A456" s="107">
        <v>1195</v>
      </c>
    </row>
    <row r="457" spans="1:1" x14ac:dyDescent="0.4">
      <c r="A457" s="107">
        <v>3459</v>
      </c>
    </row>
    <row r="458" spans="1:1" x14ac:dyDescent="0.4">
      <c r="A458" s="107">
        <v>3576</v>
      </c>
    </row>
    <row r="459" spans="1:1" x14ac:dyDescent="0.4">
      <c r="A459" s="107">
        <v>3532</v>
      </c>
    </row>
    <row r="460" spans="1:1" x14ac:dyDescent="0.4">
      <c r="A460" s="107">
        <v>206241</v>
      </c>
    </row>
    <row r="461" spans="1:1" x14ac:dyDescent="0.4">
      <c r="A461" s="107">
        <v>1437</v>
      </c>
    </row>
    <row r="462" spans="1:1" x14ac:dyDescent="0.4">
      <c r="A462" s="107">
        <v>3337</v>
      </c>
    </row>
    <row r="463" spans="1:1" x14ac:dyDescent="0.4">
      <c r="A463" s="107">
        <v>206102</v>
      </c>
    </row>
    <row r="464" spans="1:1" x14ac:dyDescent="0.4">
      <c r="A464" s="107">
        <v>206789</v>
      </c>
    </row>
    <row r="465" spans="1:1" x14ac:dyDescent="0.4">
      <c r="A465" s="107">
        <v>1414</v>
      </c>
    </row>
    <row r="466" spans="1:1" x14ac:dyDescent="0.4">
      <c r="A466" s="107">
        <v>3641</v>
      </c>
    </row>
    <row r="467" spans="1:1" x14ac:dyDescent="0.4">
      <c r="A467" s="107">
        <v>1560</v>
      </c>
    </row>
    <row r="468" spans="1:1" x14ac:dyDescent="0.25">
      <c r="A468" s="109">
        <v>6285</v>
      </c>
    </row>
    <row r="469" spans="1:1" x14ac:dyDescent="0.4">
      <c r="A469" s="107">
        <v>6117</v>
      </c>
    </row>
    <row r="470" spans="1:1" x14ac:dyDescent="0.4">
      <c r="A470" s="107">
        <v>6004</v>
      </c>
    </row>
    <row r="471" spans="1:1" x14ac:dyDescent="0.4">
      <c r="A471" s="107">
        <v>5552</v>
      </c>
    </row>
    <row r="472" spans="1:1" x14ac:dyDescent="0.4">
      <c r="A472" s="107">
        <v>5165</v>
      </c>
    </row>
    <row r="473" spans="1:1" x14ac:dyDescent="0.4">
      <c r="A473" s="108">
        <v>6341</v>
      </c>
    </row>
    <row r="474" spans="1:1" x14ac:dyDescent="0.4">
      <c r="A474" s="107">
        <v>3959</v>
      </c>
    </row>
    <row r="475" spans="1:1" x14ac:dyDescent="0.25">
      <c r="A475" s="109">
        <v>1991</v>
      </c>
    </row>
    <row r="476" spans="1:1" x14ac:dyDescent="0.25">
      <c r="A476" s="109">
        <v>3968</v>
      </c>
    </row>
    <row r="477" spans="1:1" x14ac:dyDescent="0.25">
      <c r="A477" s="109">
        <v>3999</v>
      </c>
    </row>
    <row r="478" spans="1:1" x14ac:dyDescent="0.25">
      <c r="A478" s="109">
        <v>3975</v>
      </c>
    </row>
    <row r="479" spans="1:1" x14ac:dyDescent="0.4">
      <c r="A479" s="107">
        <v>3859</v>
      </c>
    </row>
    <row r="480" spans="1:1" x14ac:dyDescent="0.4">
      <c r="A480" s="107">
        <v>3971</v>
      </c>
    </row>
    <row r="481" spans="1:1" x14ac:dyDescent="0.4">
      <c r="A481" s="107">
        <v>3876</v>
      </c>
    </row>
    <row r="482" spans="1:1" x14ac:dyDescent="0.4">
      <c r="A482" s="107">
        <v>3708</v>
      </c>
    </row>
    <row r="483" spans="1:1" x14ac:dyDescent="0.4">
      <c r="A483" s="107">
        <v>3853</v>
      </c>
    </row>
    <row r="484" spans="1:1" x14ac:dyDescent="0.4">
      <c r="A484" s="107">
        <v>3684</v>
      </c>
    </row>
    <row r="485" spans="1:1" x14ac:dyDescent="0.4">
      <c r="A485" s="107">
        <v>3916</v>
      </c>
    </row>
    <row r="486" spans="1:1" x14ac:dyDescent="0.25">
      <c r="A486" s="109">
        <v>1995</v>
      </c>
    </row>
    <row r="487" spans="1:1" x14ac:dyDescent="0.4">
      <c r="A487" s="107">
        <v>3945</v>
      </c>
    </row>
    <row r="488" spans="1:1" x14ac:dyDescent="0.4">
      <c r="A488" s="107">
        <v>3929</v>
      </c>
    </row>
    <row r="489" spans="1:1" x14ac:dyDescent="0.4">
      <c r="A489" s="107">
        <v>3258</v>
      </c>
    </row>
    <row r="490" spans="1:1" x14ac:dyDescent="0.4">
      <c r="A490" s="107">
        <v>3426</v>
      </c>
    </row>
    <row r="491" spans="1:1" x14ac:dyDescent="0.4">
      <c r="A491" s="107">
        <v>3693</v>
      </c>
    </row>
    <row r="492" spans="1:1" x14ac:dyDescent="0.4">
      <c r="A492" s="107">
        <v>3292</v>
      </c>
    </row>
    <row r="493" spans="1:1" x14ac:dyDescent="0.4">
      <c r="A493" s="107">
        <v>3332</v>
      </c>
    </row>
    <row r="494" spans="1:1" x14ac:dyDescent="0.4">
      <c r="A494" s="107">
        <v>3703</v>
      </c>
    </row>
    <row r="495" spans="1:1" x14ac:dyDescent="0.4">
      <c r="A495" s="107">
        <v>3308</v>
      </c>
    </row>
    <row r="496" spans="1:1" x14ac:dyDescent="0.4">
      <c r="A496" s="107">
        <v>3742</v>
      </c>
    </row>
    <row r="497" spans="1:1" x14ac:dyDescent="0.4">
      <c r="A497" s="107">
        <v>3299</v>
      </c>
    </row>
    <row r="498" spans="1:1" x14ac:dyDescent="0.4">
      <c r="A498" s="107">
        <v>3743</v>
      </c>
    </row>
    <row r="499" spans="1:1" x14ac:dyDescent="0.4">
      <c r="A499" s="107">
        <v>3267</v>
      </c>
    </row>
    <row r="500" spans="1:1" x14ac:dyDescent="0.4">
      <c r="A500" s="107">
        <v>3694</v>
      </c>
    </row>
    <row r="501" spans="1:1" x14ac:dyDescent="0.4">
      <c r="A501" s="107">
        <v>3408</v>
      </c>
    </row>
    <row r="502" spans="1:1" x14ac:dyDescent="0.4">
      <c r="A502" s="107">
        <v>3410</v>
      </c>
    </row>
    <row r="503" spans="1:1" x14ac:dyDescent="0.4">
      <c r="A503" s="107">
        <v>3796</v>
      </c>
    </row>
    <row r="504" spans="1:1" x14ac:dyDescent="0.4">
      <c r="A504" s="107">
        <v>3571</v>
      </c>
    </row>
    <row r="505" spans="1:1" x14ac:dyDescent="0.4">
      <c r="A505" s="107">
        <v>3836</v>
      </c>
    </row>
    <row r="506" spans="1:1" x14ac:dyDescent="0.4">
      <c r="A506" s="107">
        <v>3799</v>
      </c>
    </row>
    <row r="507" spans="1:1" x14ac:dyDescent="0.4">
      <c r="A507" s="107">
        <v>1910</v>
      </c>
    </row>
    <row r="508" spans="1:1" x14ac:dyDescent="0.4">
      <c r="A508" s="107">
        <v>1664</v>
      </c>
    </row>
    <row r="509" spans="1:1" x14ac:dyDescent="0.4">
      <c r="A509" s="107">
        <v>3541</v>
      </c>
    </row>
    <row r="510" spans="1:1" x14ac:dyDescent="0.4">
      <c r="A510" s="107">
        <v>3764</v>
      </c>
    </row>
    <row r="511" spans="1:1" x14ac:dyDescent="0.4">
      <c r="A511" s="107">
        <v>1337</v>
      </c>
    </row>
    <row r="512" spans="1:1" x14ac:dyDescent="0.4">
      <c r="A512" s="107">
        <v>3486</v>
      </c>
    </row>
    <row r="513" spans="1:1" x14ac:dyDescent="0.4">
      <c r="A513" s="107">
        <v>3818</v>
      </c>
    </row>
    <row r="514" spans="1:1" x14ac:dyDescent="0.4">
      <c r="A514" s="107">
        <v>3918</v>
      </c>
    </row>
    <row r="515" spans="1:1" x14ac:dyDescent="0.4">
      <c r="A515" s="107">
        <v>3809</v>
      </c>
    </row>
    <row r="516" spans="1:1" x14ac:dyDescent="0.4">
      <c r="A516" s="107">
        <v>3950</v>
      </c>
    </row>
    <row r="517" spans="1:1" x14ac:dyDescent="0.4">
      <c r="A517" s="107">
        <v>3716</v>
      </c>
    </row>
    <row r="518" spans="1:1" x14ac:dyDescent="0.4">
      <c r="A518" s="107">
        <v>3925</v>
      </c>
    </row>
    <row r="519" spans="1:1" x14ac:dyDescent="0.4">
      <c r="A519" s="107">
        <v>3882</v>
      </c>
    </row>
    <row r="520" spans="1:1" x14ac:dyDescent="0.4">
      <c r="A520" s="107">
        <v>3699</v>
      </c>
    </row>
    <row r="521" spans="1:1" x14ac:dyDescent="0.4">
      <c r="A521" s="107">
        <v>3238</v>
      </c>
    </row>
    <row r="522" spans="1:1" x14ac:dyDescent="0.4">
      <c r="A522" s="107">
        <v>3958</v>
      </c>
    </row>
    <row r="523" spans="1:1" x14ac:dyDescent="0.4">
      <c r="A523" s="107">
        <v>1824</v>
      </c>
    </row>
    <row r="524" spans="1:1" x14ac:dyDescent="0.4">
      <c r="A524" s="107">
        <v>3844</v>
      </c>
    </row>
    <row r="525" spans="1:1" x14ac:dyDescent="0.4">
      <c r="A525" s="107">
        <v>3558</v>
      </c>
    </row>
    <row r="526" spans="1:1" x14ac:dyDescent="0.4">
      <c r="A526" s="107">
        <v>3557</v>
      </c>
    </row>
    <row r="527" spans="1:1" x14ac:dyDescent="0.4">
      <c r="A527" s="107">
        <v>3413</v>
      </c>
    </row>
    <row r="528" spans="1:1" x14ac:dyDescent="0.4">
      <c r="A528" s="107">
        <v>3667</v>
      </c>
    </row>
    <row r="529" spans="1:1" x14ac:dyDescent="0.4">
      <c r="A529" s="107">
        <v>3617</v>
      </c>
    </row>
    <row r="530" spans="1:1" x14ac:dyDescent="0.4">
      <c r="A530" s="107">
        <v>3265</v>
      </c>
    </row>
    <row r="531" spans="1:1" x14ac:dyDescent="0.4">
      <c r="A531" s="107">
        <v>3647</v>
      </c>
    </row>
    <row r="532" spans="1:1" x14ac:dyDescent="0.4">
      <c r="A532" s="107">
        <v>3477</v>
      </c>
    </row>
    <row r="533" spans="1:1" x14ac:dyDescent="0.4">
      <c r="A533" s="107">
        <v>1844</v>
      </c>
    </row>
    <row r="534" spans="1:1" x14ac:dyDescent="0.4">
      <c r="A534" s="107">
        <v>3248</v>
      </c>
    </row>
    <row r="535" spans="1:1" x14ac:dyDescent="0.4">
      <c r="A535" s="107">
        <v>1969</v>
      </c>
    </row>
    <row r="536" spans="1:1" x14ac:dyDescent="0.4">
      <c r="A536" s="107">
        <v>3752</v>
      </c>
    </row>
    <row r="537" spans="1:1" x14ac:dyDescent="0.4">
      <c r="A537" s="107">
        <v>3762</v>
      </c>
    </row>
    <row r="538" spans="1:1" x14ac:dyDescent="0.4">
      <c r="A538" s="107">
        <v>3748</v>
      </c>
    </row>
    <row r="539" spans="1:1" x14ac:dyDescent="0.4">
      <c r="A539" s="107">
        <v>3051</v>
      </c>
    </row>
    <row r="540" spans="1:1" x14ac:dyDescent="0.4">
      <c r="A540" s="107">
        <v>3872</v>
      </c>
    </row>
    <row r="541" spans="1:1" x14ac:dyDescent="0.4">
      <c r="A541" s="107">
        <v>3894</v>
      </c>
    </row>
    <row r="542" spans="1:1" x14ac:dyDescent="0.4">
      <c r="A542" s="107">
        <v>3596</v>
      </c>
    </row>
    <row r="543" spans="1:1" x14ac:dyDescent="0.4">
      <c r="A543" s="107">
        <v>3578</v>
      </c>
    </row>
    <row r="544" spans="1:1" x14ac:dyDescent="0.4">
      <c r="A544" s="107">
        <v>3636</v>
      </c>
    </row>
    <row r="545" spans="1:1" x14ac:dyDescent="0.4">
      <c r="A545" s="107">
        <v>3648</v>
      </c>
    </row>
    <row r="546" spans="1:1" x14ac:dyDescent="0.4">
      <c r="A546" s="107">
        <v>3654</v>
      </c>
    </row>
    <row r="547" spans="1:1" x14ac:dyDescent="0.4">
      <c r="A547" s="107">
        <v>206324</v>
      </c>
    </row>
    <row r="548" spans="1:1" x14ac:dyDescent="0.4">
      <c r="A548" s="107">
        <v>206301</v>
      </c>
    </row>
    <row r="549" spans="1:1" x14ac:dyDescent="0.4">
      <c r="A549" s="107">
        <v>206244</v>
      </c>
    </row>
    <row r="550" spans="1:1" x14ac:dyDescent="0.4">
      <c r="A550" s="125">
        <v>206270</v>
      </c>
    </row>
    <row r="551" spans="1:1" x14ac:dyDescent="0.4">
      <c r="A551" s="107">
        <v>206322</v>
      </c>
    </row>
    <row r="552" spans="1:1" x14ac:dyDescent="0.4">
      <c r="A552" s="107">
        <v>206336</v>
      </c>
    </row>
    <row r="553" spans="1:1" x14ac:dyDescent="0.4">
      <c r="A553" s="107">
        <v>5789</v>
      </c>
    </row>
    <row r="554" spans="1:1" x14ac:dyDescent="0.25">
      <c r="A554" s="109">
        <v>206288</v>
      </c>
    </row>
    <row r="555" spans="1:1" x14ac:dyDescent="0.4">
      <c r="A555" s="107">
        <v>206237</v>
      </c>
    </row>
    <row r="556" spans="1:1" x14ac:dyDescent="0.4">
      <c r="A556" s="107">
        <v>792</v>
      </c>
    </row>
    <row r="557" spans="1:1" x14ac:dyDescent="0.25">
      <c r="A557" s="109">
        <v>6327</v>
      </c>
    </row>
    <row r="558" spans="1:1" x14ac:dyDescent="0.4">
      <c r="A558" s="107">
        <v>206132</v>
      </c>
    </row>
    <row r="559" spans="1:1" x14ac:dyDescent="0.4">
      <c r="A559" s="107">
        <v>206157</v>
      </c>
    </row>
    <row r="560" spans="1:1" x14ac:dyDescent="0.4">
      <c r="A560" s="107">
        <v>20828</v>
      </c>
    </row>
    <row r="561" spans="1:1" x14ac:dyDescent="0.4">
      <c r="A561" s="107">
        <v>206222</v>
      </c>
    </row>
    <row r="562" spans="1:1" x14ac:dyDescent="0.4">
      <c r="A562" s="107">
        <v>5698</v>
      </c>
    </row>
    <row r="563" spans="1:1" x14ac:dyDescent="0.4">
      <c r="A563" s="107">
        <v>5754</v>
      </c>
    </row>
    <row r="564" spans="1:1" x14ac:dyDescent="0.4">
      <c r="A564" s="107">
        <v>205669</v>
      </c>
    </row>
    <row r="565" spans="1:1" x14ac:dyDescent="0.4">
      <c r="A565" s="107">
        <v>6006</v>
      </c>
    </row>
    <row r="566" spans="1:1" x14ac:dyDescent="0.4">
      <c r="A566" s="107">
        <v>6052</v>
      </c>
    </row>
    <row r="567" spans="1:1" x14ac:dyDescent="0.4">
      <c r="A567" s="107">
        <v>6174</v>
      </c>
    </row>
    <row r="568" spans="1:1" x14ac:dyDescent="0.25">
      <c r="A568" s="109">
        <v>5877</v>
      </c>
    </row>
    <row r="569" spans="1:1" x14ac:dyDescent="0.4">
      <c r="A569" s="107">
        <v>5804</v>
      </c>
    </row>
    <row r="570" spans="1:1" x14ac:dyDescent="0.4">
      <c r="A570" s="107">
        <v>6034</v>
      </c>
    </row>
    <row r="571" spans="1:1" x14ac:dyDescent="0.4">
      <c r="A571" s="107">
        <v>5450</v>
      </c>
    </row>
    <row r="572" spans="1:1" x14ac:dyDescent="0.4">
      <c r="A572" s="120">
        <v>206312</v>
      </c>
    </row>
    <row r="573" spans="1:1" x14ac:dyDescent="0.4">
      <c r="A573" s="107">
        <v>205856</v>
      </c>
    </row>
    <row r="574" spans="1:1" x14ac:dyDescent="0.4">
      <c r="A574" s="107">
        <v>206151</v>
      </c>
    </row>
    <row r="575" spans="1:1" x14ac:dyDescent="0.4">
      <c r="A575" s="107">
        <v>6079</v>
      </c>
    </row>
    <row r="576" spans="1:1" x14ac:dyDescent="0.4">
      <c r="A576" s="107">
        <v>5301</v>
      </c>
    </row>
    <row r="577" spans="1:1" x14ac:dyDescent="0.4">
      <c r="A577" s="107">
        <v>6173</v>
      </c>
    </row>
    <row r="578" spans="1:1" x14ac:dyDescent="0.4">
      <c r="A578" s="107">
        <v>5663</v>
      </c>
    </row>
    <row r="579" spans="1:1" x14ac:dyDescent="0.4">
      <c r="A579" s="108">
        <v>6281</v>
      </c>
    </row>
    <row r="580" spans="1:1" x14ac:dyDescent="0.4">
      <c r="A580" s="107">
        <v>6326</v>
      </c>
    </row>
    <row r="581" spans="1:1" x14ac:dyDescent="0.4">
      <c r="A581" s="107">
        <v>206211</v>
      </c>
    </row>
    <row r="582" spans="1:1" x14ac:dyDescent="0.4">
      <c r="A582" s="107">
        <v>20758</v>
      </c>
    </row>
    <row r="583" spans="1:1" x14ac:dyDescent="0.4">
      <c r="A583" s="107">
        <v>895</v>
      </c>
    </row>
    <row r="584" spans="1:1" x14ac:dyDescent="0.4">
      <c r="A584" s="107">
        <v>205731</v>
      </c>
    </row>
    <row r="585" spans="1:1" x14ac:dyDescent="0.4">
      <c r="A585" s="107">
        <v>206332</v>
      </c>
    </row>
    <row r="586" spans="1:1" x14ac:dyDescent="0.4">
      <c r="A586" s="110">
        <v>20871</v>
      </c>
    </row>
    <row r="587" spans="1:1" x14ac:dyDescent="0.4">
      <c r="A587" s="107">
        <v>206035</v>
      </c>
    </row>
    <row r="588" spans="1:1" x14ac:dyDescent="0.4">
      <c r="A588" s="107">
        <v>206182</v>
      </c>
    </row>
    <row r="589" spans="1:1" x14ac:dyDescent="0.25">
      <c r="A589" s="126">
        <v>206786</v>
      </c>
    </row>
    <row r="590" spans="1:1" x14ac:dyDescent="0.4">
      <c r="A590" s="107">
        <v>206243</v>
      </c>
    </row>
    <row r="591" spans="1:1" x14ac:dyDescent="0.4">
      <c r="A591" s="107">
        <v>205520</v>
      </c>
    </row>
    <row r="592" spans="1:1" x14ac:dyDescent="0.4">
      <c r="A592" s="107">
        <v>6003</v>
      </c>
    </row>
    <row r="593" spans="1:1" x14ac:dyDescent="0.4">
      <c r="A593" s="107">
        <v>206168</v>
      </c>
    </row>
    <row r="594" spans="1:1" x14ac:dyDescent="0.4">
      <c r="A594" s="107">
        <v>205444</v>
      </c>
    </row>
    <row r="595" spans="1:1" x14ac:dyDescent="0.4">
      <c r="A595" s="107">
        <v>20317</v>
      </c>
    </row>
    <row r="596" spans="1:1" x14ac:dyDescent="0.4">
      <c r="A596" s="107">
        <v>206201</v>
      </c>
    </row>
    <row r="597" spans="1:1" x14ac:dyDescent="0.4">
      <c r="A597" s="107">
        <v>20734</v>
      </c>
    </row>
    <row r="598" spans="1:1" x14ac:dyDescent="0.4">
      <c r="A598" s="107">
        <v>205887</v>
      </c>
    </row>
    <row r="599" spans="1:1" x14ac:dyDescent="0.4">
      <c r="A599" s="107">
        <v>205415</v>
      </c>
    </row>
    <row r="600" spans="1:1" x14ac:dyDescent="0.4">
      <c r="A600" s="107">
        <v>5683</v>
      </c>
    </row>
    <row r="601" spans="1:1" x14ac:dyDescent="0.4">
      <c r="A601" s="107">
        <v>206311</v>
      </c>
    </row>
    <row r="602" spans="1:1" x14ac:dyDescent="0.4">
      <c r="A602" s="107">
        <v>6061</v>
      </c>
    </row>
    <row r="603" spans="1:1" x14ac:dyDescent="0.4">
      <c r="A603" s="107">
        <v>206158</v>
      </c>
    </row>
    <row r="604" spans="1:1" x14ac:dyDescent="0.4">
      <c r="A604" s="107">
        <v>20383</v>
      </c>
    </row>
    <row r="605" spans="1:1" x14ac:dyDescent="0.4">
      <c r="A605" s="107">
        <v>20864</v>
      </c>
    </row>
    <row r="606" spans="1:1" x14ac:dyDescent="0.4">
      <c r="A606" s="107">
        <v>206216</v>
      </c>
    </row>
    <row r="607" spans="1:1" x14ac:dyDescent="0.4">
      <c r="A607" s="107">
        <v>968</v>
      </c>
    </row>
    <row r="608" spans="1:1" x14ac:dyDescent="0.4">
      <c r="A608" s="107">
        <v>6001</v>
      </c>
    </row>
    <row r="609" spans="1:1" x14ac:dyDescent="0.4">
      <c r="A609" s="107">
        <v>6069</v>
      </c>
    </row>
    <row r="610" spans="1:1" x14ac:dyDescent="0.4">
      <c r="A610" s="107">
        <v>206172</v>
      </c>
    </row>
    <row r="611" spans="1:1" x14ac:dyDescent="0.4">
      <c r="A611" s="107">
        <v>3738</v>
      </c>
    </row>
    <row r="612" spans="1:1" x14ac:dyDescent="0.4">
      <c r="A612" s="107">
        <v>3639</v>
      </c>
    </row>
    <row r="613" spans="1:1" x14ac:dyDescent="0.4">
      <c r="A613" s="107">
        <v>3566</v>
      </c>
    </row>
    <row r="614" spans="1:1" x14ac:dyDescent="0.4">
      <c r="A614" s="107">
        <v>3680</v>
      </c>
    </row>
    <row r="615" spans="1:1" x14ac:dyDescent="0.4">
      <c r="A615" s="107">
        <v>3700</v>
      </c>
    </row>
    <row r="616" spans="1:1" x14ac:dyDescent="0.4">
      <c r="A616" s="107">
        <v>3870</v>
      </c>
    </row>
    <row r="617" spans="1:1" x14ac:dyDescent="0.4">
      <c r="A617" s="107">
        <v>3669</v>
      </c>
    </row>
    <row r="618" spans="1:1" x14ac:dyDescent="0.4">
      <c r="A618" s="107">
        <v>3811</v>
      </c>
    </row>
    <row r="619" spans="1:1" x14ac:dyDescent="0.4">
      <c r="A619" s="107">
        <v>3981</v>
      </c>
    </row>
    <row r="620" spans="1:1" x14ac:dyDescent="0.4">
      <c r="A620" s="107">
        <v>3852</v>
      </c>
    </row>
    <row r="621" spans="1:1" x14ac:dyDescent="0.4">
      <c r="A621" s="107">
        <v>3903</v>
      </c>
    </row>
    <row r="622" spans="1:1" x14ac:dyDescent="0.4">
      <c r="A622" s="107">
        <v>3645</v>
      </c>
    </row>
    <row r="623" spans="1:1" x14ac:dyDescent="0.4">
      <c r="A623" s="107">
        <v>6011</v>
      </c>
    </row>
    <row r="624" spans="1:1" x14ac:dyDescent="0.4">
      <c r="A624" s="107">
        <v>5166</v>
      </c>
    </row>
    <row r="625" spans="1:1" x14ac:dyDescent="0.4">
      <c r="A625" s="107">
        <v>5112</v>
      </c>
    </row>
    <row r="626" spans="1:1" x14ac:dyDescent="0.4">
      <c r="A626" s="107">
        <v>5158</v>
      </c>
    </row>
    <row r="627" spans="1:1" x14ac:dyDescent="0.4">
      <c r="A627" s="107">
        <v>6176</v>
      </c>
    </row>
    <row r="628" spans="1:1" x14ac:dyDescent="0.4">
      <c r="A628" s="107">
        <v>5167</v>
      </c>
    </row>
    <row r="629" spans="1:1" x14ac:dyDescent="0.4">
      <c r="A629" s="107">
        <v>5736</v>
      </c>
    </row>
    <row r="630" spans="1:1" x14ac:dyDescent="0.4">
      <c r="A630" s="107">
        <v>3887</v>
      </c>
    </row>
    <row r="631" spans="1:1" x14ac:dyDescent="0.4">
      <c r="A631" s="107">
        <v>3912</v>
      </c>
    </row>
    <row r="632" spans="1:1" x14ac:dyDescent="0.25">
      <c r="A632" s="109">
        <v>6787</v>
      </c>
    </row>
    <row r="633" spans="1:1" x14ac:dyDescent="0.25">
      <c r="A633" s="109">
        <v>6177</v>
      </c>
    </row>
    <row r="634" spans="1:1" x14ac:dyDescent="0.25">
      <c r="A634" s="109">
        <v>6331</v>
      </c>
    </row>
    <row r="635" spans="1:1" x14ac:dyDescent="0.25">
      <c r="A635" s="109">
        <v>6328</v>
      </c>
    </row>
    <row r="636" spans="1:1" x14ac:dyDescent="0.25">
      <c r="A636" s="109">
        <v>6329</v>
      </c>
    </row>
    <row r="637" spans="1:1" x14ac:dyDescent="0.4">
      <c r="A637" s="107">
        <v>6119</v>
      </c>
    </row>
    <row r="638" spans="1:1" x14ac:dyDescent="0.25">
      <c r="A638" s="109">
        <v>6330</v>
      </c>
    </row>
    <row r="639" spans="1:1" x14ac:dyDescent="0.4">
      <c r="A639" s="107">
        <v>3531</v>
      </c>
    </row>
    <row r="640" spans="1:1" x14ac:dyDescent="0.4">
      <c r="A640" s="107">
        <v>3159</v>
      </c>
    </row>
    <row r="641" spans="1:1" x14ac:dyDescent="0.4">
      <c r="A641" s="107">
        <v>3589</v>
      </c>
    </row>
    <row r="642" spans="1:1" x14ac:dyDescent="0.4">
      <c r="A642" s="107">
        <v>1553</v>
      </c>
    </row>
    <row r="643" spans="1:1" x14ac:dyDescent="0.4">
      <c r="A643" s="107">
        <v>3498</v>
      </c>
    </row>
    <row r="644" spans="1:1" x14ac:dyDescent="0.4">
      <c r="A644" s="107">
        <v>3540</v>
      </c>
    </row>
    <row r="645" spans="1:1" x14ac:dyDescent="0.4">
      <c r="A645" s="107">
        <v>3553</v>
      </c>
    </row>
    <row r="646" spans="1:1" x14ac:dyDescent="0.4">
      <c r="A646" s="107">
        <v>3460</v>
      </c>
    </row>
    <row r="647" spans="1:1" x14ac:dyDescent="0.4">
      <c r="A647" s="107">
        <v>206289</v>
      </c>
    </row>
    <row r="648" spans="1:1" x14ac:dyDescent="0.4">
      <c r="A648" s="107">
        <v>6051</v>
      </c>
    </row>
    <row r="649" spans="1:1" x14ac:dyDescent="0.4">
      <c r="A649" s="107">
        <v>20823</v>
      </c>
    </row>
    <row r="650" spans="1:1" x14ac:dyDescent="0.4">
      <c r="A650" s="107">
        <v>206235</v>
      </c>
    </row>
    <row r="651" spans="1:1" x14ac:dyDescent="0.4">
      <c r="A651" s="107">
        <v>5889</v>
      </c>
    </row>
    <row r="652" spans="1:1" x14ac:dyDescent="0.4">
      <c r="A652" s="107">
        <v>5138</v>
      </c>
    </row>
    <row r="653" spans="1:1" x14ac:dyDescent="0.4">
      <c r="A653" s="110">
        <v>206231</v>
      </c>
    </row>
    <row r="654" spans="1:1" x14ac:dyDescent="0.4">
      <c r="A654" s="107">
        <v>206782</v>
      </c>
    </row>
    <row r="655" spans="1:1" x14ac:dyDescent="0.4">
      <c r="A655" s="107">
        <v>206785</v>
      </c>
    </row>
    <row r="656" spans="1:1" x14ac:dyDescent="0.4">
      <c r="A656" s="107">
        <v>206290</v>
      </c>
    </row>
    <row r="657" spans="1:1" x14ac:dyDescent="0.4">
      <c r="A657" s="107">
        <v>5105</v>
      </c>
    </row>
    <row r="658" spans="1:1" x14ac:dyDescent="0.4">
      <c r="A658" s="107">
        <v>206277</v>
      </c>
    </row>
    <row r="659" spans="1:1" x14ac:dyDescent="0.4">
      <c r="A659" s="107">
        <v>1915</v>
      </c>
    </row>
    <row r="660" spans="1:1" x14ac:dyDescent="0.25">
      <c r="A660" s="109">
        <v>6282</v>
      </c>
    </row>
    <row r="661" spans="1:1" x14ac:dyDescent="0.4">
      <c r="A661" s="107">
        <v>5751</v>
      </c>
    </row>
    <row r="662" spans="1:1" x14ac:dyDescent="0.4">
      <c r="A662" s="107">
        <v>1443</v>
      </c>
    </row>
    <row r="663" spans="1:1" x14ac:dyDescent="0.4">
      <c r="A663" s="107">
        <v>6287</v>
      </c>
    </row>
    <row r="664" spans="1:1" x14ac:dyDescent="0.4">
      <c r="A664" s="107">
        <v>5916</v>
      </c>
    </row>
    <row r="665" spans="1:1" x14ac:dyDescent="0.4">
      <c r="A665" s="107">
        <v>5163</v>
      </c>
    </row>
    <row r="666" spans="1:1" x14ac:dyDescent="0.4">
      <c r="A666" s="107">
        <v>867</v>
      </c>
    </row>
    <row r="667" spans="1:1" x14ac:dyDescent="0.4">
      <c r="A667" s="107">
        <v>5725</v>
      </c>
    </row>
    <row r="668" spans="1:1" x14ac:dyDescent="0.4">
      <c r="A668" s="107">
        <v>472</v>
      </c>
    </row>
    <row r="669" spans="1:1" x14ac:dyDescent="0.4">
      <c r="A669" s="107">
        <v>3841</v>
      </c>
    </row>
    <row r="670" spans="1:1" x14ac:dyDescent="0.4">
      <c r="A670" s="107">
        <v>3855</v>
      </c>
    </row>
    <row r="671" spans="1:1" x14ac:dyDescent="0.4">
      <c r="A671" s="107">
        <v>3682</v>
      </c>
    </row>
    <row r="672" spans="1:1" x14ac:dyDescent="0.25">
      <c r="A672" s="109">
        <v>3998</v>
      </c>
    </row>
    <row r="673" spans="1:1" x14ac:dyDescent="0.4">
      <c r="A673" s="107">
        <v>3561</v>
      </c>
    </row>
    <row r="674" spans="1:1" x14ac:dyDescent="0.4">
      <c r="A674" s="107">
        <v>3300</v>
      </c>
    </row>
    <row r="675" spans="1:1" x14ac:dyDescent="0.4">
      <c r="A675" s="107">
        <v>1923</v>
      </c>
    </row>
    <row r="676" spans="1:1" x14ac:dyDescent="0.4">
      <c r="A676" s="107">
        <v>3932</v>
      </c>
    </row>
    <row r="677" spans="1:1" x14ac:dyDescent="0.4">
      <c r="A677" s="107">
        <v>5534</v>
      </c>
    </row>
    <row r="678" spans="1:1" x14ac:dyDescent="0.4">
      <c r="A678" s="107">
        <v>206207</v>
      </c>
    </row>
    <row r="679" spans="1:1" x14ac:dyDescent="0.4">
      <c r="A679" s="107">
        <v>205885</v>
      </c>
    </row>
    <row r="680" spans="1:1" x14ac:dyDescent="0.25">
      <c r="A680" s="109">
        <v>206780</v>
      </c>
    </row>
    <row r="681" spans="1:1" x14ac:dyDescent="0.25">
      <c r="A681" s="112">
        <v>206784</v>
      </c>
    </row>
    <row r="682" spans="1:1" x14ac:dyDescent="0.4">
      <c r="A682" s="107">
        <v>6202</v>
      </c>
    </row>
    <row r="683" spans="1:1" x14ac:dyDescent="0.4">
      <c r="A683" s="107">
        <v>3632</v>
      </c>
    </row>
    <row r="684" spans="1:1" x14ac:dyDescent="0.4">
      <c r="A684" s="107">
        <v>206238</v>
      </c>
    </row>
    <row r="685" spans="1:1" x14ac:dyDescent="0.4">
      <c r="A685" s="127">
        <v>206321</v>
      </c>
    </row>
    <row r="686" spans="1:1" x14ac:dyDescent="0.4">
      <c r="A686" s="127">
        <v>206337</v>
      </c>
    </row>
    <row r="687" spans="1:1" x14ac:dyDescent="0.4">
      <c r="A687" s="127">
        <v>206267</v>
      </c>
    </row>
    <row r="688" spans="1:1" x14ac:dyDescent="0.4">
      <c r="A688" s="127">
        <v>206319</v>
      </c>
    </row>
    <row r="689" spans="1:1" x14ac:dyDescent="0.4">
      <c r="A689" s="107">
        <v>206293</v>
      </c>
    </row>
    <row r="690" spans="1:1" x14ac:dyDescent="0.4">
      <c r="A690" s="107">
        <v>206320</v>
      </c>
    </row>
    <row r="691" spans="1:1" x14ac:dyDescent="0.25">
      <c r="A691" s="109">
        <v>62025</v>
      </c>
    </row>
    <row r="692" spans="1:1" x14ac:dyDescent="0.25">
      <c r="A692" s="109">
        <v>62018</v>
      </c>
    </row>
    <row r="693" spans="1:1" x14ac:dyDescent="0.25">
      <c r="A693" s="109">
        <v>62019</v>
      </c>
    </row>
    <row r="694" spans="1:1" x14ac:dyDescent="0.4">
      <c r="A694" s="1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FC810"/>
  <sheetViews>
    <sheetView tabSelected="1" view="pageBreakPreview" topLeftCell="L17" zoomScale="36" zoomScaleNormal="50" zoomScaleSheetLayoutView="44" workbookViewId="0">
      <pane ySplit="1" topLeftCell="A215" activePane="bottomLeft" state="frozen"/>
      <selection activeCell="A17" sqref="A17"/>
      <selection pane="bottomLeft" activeCell="V222" sqref="V222"/>
    </sheetView>
  </sheetViews>
  <sheetFormatPr baseColWidth="10" defaultColWidth="11.42578125" defaultRowHeight="30" x14ac:dyDescent="0.4"/>
  <cols>
    <col min="1" max="1" width="12.7109375" style="1" bestFit="1" customWidth="1"/>
    <col min="2" max="2" width="28.28515625" style="2" customWidth="1"/>
    <col min="3" max="3" width="119.5703125" style="1" bestFit="1" customWidth="1"/>
    <col min="4" max="4" width="20.42578125" style="1" customWidth="1"/>
    <col min="5" max="5" width="127.28515625" style="1" bestFit="1" customWidth="1"/>
    <col min="6" max="6" width="137.28515625" style="3" customWidth="1"/>
    <col min="7" max="7" width="61.85546875" style="4" customWidth="1"/>
    <col min="8" max="8" width="29.28515625" style="1" customWidth="1"/>
    <col min="9" max="10" width="25" style="1" customWidth="1"/>
    <col min="11" max="11" width="38.42578125" style="1" bestFit="1" customWidth="1"/>
    <col min="12" max="13" width="25" style="1" bestFit="1" customWidth="1"/>
    <col min="14" max="14" width="44" style="3" customWidth="1"/>
    <col min="15" max="15" width="255.5703125" style="3" customWidth="1"/>
    <col min="16" max="16" width="27.140625" style="3" bestFit="1" customWidth="1"/>
    <col min="17" max="17" width="34.42578125" style="3" customWidth="1"/>
    <col min="18" max="18" width="13.42578125" style="5" customWidth="1"/>
    <col min="19" max="19" width="22.85546875" style="1" customWidth="1"/>
    <col min="20" max="20" width="19.5703125" style="1" customWidth="1"/>
    <col min="21" max="21" width="32.42578125" style="2" customWidth="1"/>
    <col min="22" max="16384" width="11.42578125" style="1"/>
  </cols>
  <sheetData>
    <row r="3" spans="1:20" ht="45" x14ac:dyDescent="0.4">
      <c r="T3" s="6" t="s">
        <v>0</v>
      </c>
    </row>
    <row r="4" spans="1:20" ht="45" x14ac:dyDescent="0.4">
      <c r="T4" s="6" t="s">
        <v>1</v>
      </c>
    </row>
    <row r="5" spans="1:20" ht="45" x14ac:dyDescent="0.4">
      <c r="T5" s="6" t="s">
        <v>2</v>
      </c>
    </row>
    <row r="6" spans="1:20" ht="45" x14ac:dyDescent="0.4">
      <c r="T6" s="6" t="s">
        <v>3</v>
      </c>
    </row>
    <row r="9" spans="1:20" ht="15" customHeight="1" x14ac:dyDescent="0.4">
      <c r="S9" s="7"/>
    </row>
    <row r="10" spans="1:20" ht="18" customHeight="1" x14ac:dyDescent="0.4">
      <c r="S10" s="7"/>
    </row>
    <row r="11" spans="1:20" ht="18" customHeight="1" x14ac:dyDescent="0.4">
      <c r="S11" s="7"/>
    </row>
    <row r="12" spans="1:20" ht="18" customHeight="1" x14ac:dyDescent="0.25">
      <c r="B12" s="8"/>
      <c r="C12" s="8"/>
      <c r="D12" s="8"/>
      <c r="E12" s="8"/>
      <c r="F12" s="8"/>
      <c r="G12" s="9"/>
      <c r="H12" s="8"/>
      <c r="I12" s="8"/>
      <c r="J12" s="8"/>
      <c r="K12" s="8"/>
      <c r="L12" s="8"/>
      <c r="M12" s="8"/>
      <c r="N12" s="8"/>
      <c r="O12" s="8"/>
      <c r="P12" s="8"/>
      <c r="S12" s="7"/>
    </row>
    <row r="13" spans="1:20" ht="42" customHeight="1" x14ac:dyDescent="0.6">
      <c r="A13" s="228" t="s">
        <v>4</v>
      </c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</row>
    <row r="14" spans="1:20" ht="40.5" customHeight="1" x14ac:dyDescent="0.6">
      <c r="A14" s="228" t="s">
        <v>5</v>
      </c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</row>
    <row r="15" spans="1:20" ht="39.75" customHeight="1" x14ac:dyDescent="0.6">
      <c r="A15" s="228" t="s">
        <v>6</v>
      </c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10"/>
    </row>
    <row r="16" spans="1:20" ht="27" customHeight="1" thickBot="1" x14ac:dyDescent="0.45">
      <c r="A16" s="11"/>
      <c r="B16" s="12"/>
      <c r="C16" s="12"/>
      <c r="D16" s="12"/>
      <c r="E16" s="12"/>
      <c r="F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3"/>
      <c r="S16" s="12"/>
    </row>
    <row r="17" spans="1:21" s="19" customFormat="1" ht="99.75" customHeight="1" thickBot="1" x14ac:dyDescent="0.3">
      <c r="A17" s="14" t="s">
        <v>7</v>
      </c>
      <c r="B17" s="15" t="s">
        <v>8</v>
      </c>
      <c r="C17" s="15" t="s">
        <v>9</v>
      </c>
      <c r="D17" s="15" t="s">
        <v>10</v>
      </c>
      <c r="E17" s="15" t="s">
        <v>11</v>
      </c>
      <c r="F17" s="15" t="s">
        <v>12</v>
      </c>
      <c r="G17" s="15" t="s">
        <v>13</v>
      </c>
      <c r="H17" s="16" t="s">
        <v>14</v>
      </c>
      <c r="I17" s="17" t="s">
        <v>15</v>
      </c>
      <c r="J17" s="18" t="s">
        <v>16</v>
      </c>
      <c r="K17" s="16" t="s">
        <v>17</v>
      </c>
      <c r="L17" s="17" t="s">
        <v>18</v>
      </c>
      <c r="M17" s="18" t="s">
        <v>19</v>
      </c>
      <c r="N17" s="15" t="s">
        <v>20</v>
      </c>
      <c r="O17" s="15" t="s">
        <v>21</v>
      </c>
      <c r="P17" s="15" t="s">
        <v>22</v>
      </c>
      <c r="Q17" s="15" t="s">
        <v>23</v>
      </c>
      <c r="R17" s="15" t="s">
        <v>24</v>
      </c>
      <c r="S17" s="15" t="s">
        <v>25</v>
      </c>
      <c r="T17" s="15" t="s">
        <v>26</v>
      </c>
      <c r="U17" s="15" t="s">
        <v>27</v>
      </c>
    </row>
    <row r="18" spans="1:21" s="29" customFormat="1" ht="63" customHeight="1" thickBot="1" x14ac:dyDescent="0.3">
      <c r="A18" s="20"/>
      <c r="B18" s="21"/>
      <c r="C18" s="21"/>
      <c r="D18" s="21"/>
      <c r="E18" s="21"/>
      <c r="F18" s="21"/>
      <c r="G18" s="22"/>
      <c r="H18" s="23" t="s">
        <v>22</v>
      </c>
      <c r="I18" s="24" t="s">
        <v>23</v>
      </c>
      <c r="J18" s="25" t="s">
        <v>24</v>
      </c>
      <c r="K18" s="23" t="s">
        <v>22</v>
      </c>
      <c r="L18" s="24" t="s">
        <v>23</v>
      </c>
      <c r="M18" s="24" t="s">
        <v>24</v>
      </c>
      <c r="N18" s="26"/>
      <c r="O18" s="21"/>
      <c r="P18" s="21"/>
      <c r="Q18" s="21"/>
      <c r="R18" s="21"/>
      <c r="S18" s="27"/>
      <c r="T18" s="28"/>
      <c r="U18" s="28"/>
    </row>
    <row r="19" spans="1:21" s="40" customFormat="1" ht="39.950000000000003" customHeight="1" thickBot="1" x14ac:dyDescent="0.35">
      <c r="A19" s="30">
        <v>1</v>
      </c>
      <c r="B19" s="31">
        <v>301</v>
      </c>
      <c r="C19" s="32" t="s">
        <v>28</v>
      </c>
      <c r="D19" s="33" t="s">
        <v>29</v>
      </c>
      <c r="E19" s="32" t="s">
        <v>30</v>
      </c>
      <c r="F19" s="32" t="s">
        <v>31</v>
      </c>
      <c r="G19" s="34" t="s">
        <v>32</v>
      </c>
      <c r="H19" s="35"/>
      <c r="I19" s="35"/>
      <c r="J19" s="35"/>
      <c r="K19" s="35"/>
      <c r="L19" s="35"/>
      <c r="M19" s="35"/>
      <c r="N19" s="34"/>
      <c r="O19" s="36"/>
      <c r="P19" s="37"/>
      <c r="Q19" s="38"/>
      <c r="R19" s="35"/>
      <c r="S19" s="35" t="s">
        <v>33</v>
      </c>
      <c r="T19" s="30"/>
      <c r="U19" s="39">
        <f>SUM(' PLAN Y PROGRAMA ANUAL 2026'!$R19:$R19)</f>
        <v>0</v>
      </c>
    </row>
    <row r="20" spans="1:21" s="40" customFormat="1" ht="39.950000000000003" customHeight="1" thickBot="1" x14ac:dyDescent="0.35">
      <c r="A20" s="30">
        <f t="array" ref="A20">IF(B20&lt;&gt;"",COUNTIF($B$19:B20,"&lt;&gt;"),"")</f>
        <v>2</v>
      </c>
      <c r="B20" s="41">
        <v>301</v>
      </c>
      <c r="C20" s="42" t="s">
        <v>34</v>
      </c>
      <c r="D20" s="43">
        <v>205737</v>
      </c>
      <c r="E20" s="42" t="s">
        <v>35</v>
      </c>
      <c r="F20" s="42" t="s">
        <v>31</v>
      </c>
      <c r="G20" s="36" t="s">
        <v>36</v>
      </c>
      <c r="H20" s="44"/>
      <c r="I20" s="44"/>
      <c r="J20" s="44"/>
      <c r="K20" s="44"/>
      <c r="L20" s="44"/>
      <c r="M20" s="44"/>
      <c r="N20" s="36"/>
      <c r="O20" s="36"/>
      <c r="P20" s="45"/>
      <c r="Q20" s="45"/>
      <c r="R20" s="44"/>
      <c r="S20" s="46" t="s">
        <v>37</v>
      </c>
      <c r="T20" s="30" t="str">
        <f>IFERROR(VLOOKUP(O20, '[1]CURSOS 2025'!A:B, 2, FALSE), "")</f>
        <v/>
      </c>
      <c r="U20" s="39">
        <f>SUM(' PLAN Y PROGRAMA ANUAL 2026'!$R20:$R20)</f>
        <v>0</v>
      </c>
    </row>
    <row r="21" spans="1:21" s="40" customFormat="1" ht="39.950000000000003" customHeight="1" thickBot="1" x14ac:dyDescent="0.35">
      <c r="A21" s="30">
        <f t="array" ref="A21">IF(B21&lt;&gt;"",COUNTIF($B$19:B21,"&lt;&gt;"),"")</f>
        <v>3</v>
      </c>
      <c r="B21" s="41">
        <v>301</v>
      </c>
      <c r="C21" s="42" t="s">
        <v>38</v>
      </c>
      <c r="D21" s="43" t="s">
        <v>39</v>
      </c>
      <c r="E21" s="42" t="s">
        <v>40</v>
      </c>
      <c r="F21" s="42" t="s">
        <v>31</v>
      </c>
      <c r="G21" s="36" t="s">
        <v>41</v>
      </c>
      <c r="H21" s="44"/>
      <c r="I21" s="44"/>
      <c r="J21" s="44"/>
      <c r="K21" s="44"/>
      <c r="L21" s="44"/>
      <c r="M21" s="44"/>
      <c r="N21" s="36"/>
      <c r="O21" s="36"/>
      <c r="P21" s="45"/>
      <c r="Q21" s="47"/>
      <c r="R21" s="44"/>
      <c r="S21" s="44" t="s">
        <v>37</v>
      </c>
      <c r="T21" s="30" t="str">
        <f>IFERROR(VLOOKUP(O21, '[1]CURSOS 2025'!A:B, 2, FALSE), "")</f>
        <v/>
      </c>
      <c r="U21" s="48">
        <f>SUM(' PLAN Y PROGRAMA ANUAL 2026'!$R21)</f>
        <v>0</v>
      </c>
    </row>
    <row r="22" spans="1:21" s="40" customFormat="1" ht="30.75" customHeight="1" thickBot="1" x14ac:dyDescent="0.35">
      <c r="A22" s="30">
        <f t="array" ref="A22">IF(B22&lt;&gt;"",COUNTIF($B$19:B22,"&lt;&gt;"),"")</f>
        <v>4</v>
      </c>
      <c r="B22" s="41">
        <v>317</v>
      </c>
      <c r="C22" s="42" t="s">
        <v>42</v>
      </c>
      <c r="D22" s="43">
        <v>20985</v>
      </c>
      <c r="E22" s="42" t="s">
        <v>43</v>
      </c>
      <c r="F22" s="49" t="s">
        <v>31</v>
      </c>
      <c r="G22" s="36" t="s">
        <v>44</v>
      </c>
      <c r="H22" s="44"/>
      <c r="I22" s="44"/>
      <c r="J22" s="44"/>
      <c r="K22" s="44" t="s">
        <v>231</v>
      </c>
      <c r="L22" s="44" t="s">
        <v>231</v>
      </c>
      <c r="M22" s="44" t="s">
        <v>231</v>
      </c>
      <c r="N22" s="36" t="s">
        <v>1537</v>
      </c>
      <c r="O22" s="36" t="s">
        <v>1713</v>
      </c>
      <c r="P22" s="45">
        <v>46069</v>
      </c>
      <c r="Q22" s="45">
        <v>46069</v>
      </c>
      <c r="R22" s="44">
        <v>2</v>
      </c>
      <c r="S22" s="46" t="s">
        <v>33</v>
      </c>
      <c r="T22" s="30" t="s">
        <v>234</v>
      </c>
      <c r="U22" s="221">
        <f>SUM(R22:R25)</f>
        <v>8</v>
      </c>
    </row>
    <row r="23" spans="1:21" s="40" customFormat="1" ht="30.75" customHeight="1" thickBot="1" x14ac:dyDescent="0.35">
      <c r="A23" s="30" t="str">
        <f t="array" ref="A23">IF(B23&lt;&gt;"",COUNTIF($B$19:B23,"&lt;&gt;"),"")</f>
        <v/>
      </c>
      <c r="B23" s="41"/>
      <c r="C23" s="42"/>
      <c r="D23" s="43"/>
      <c r="E23" s="42"/>
      <c r="F23" s="49"/>
      <c r="G23" s="36"/>
      <c r="H23" s="44"/>
      <c r="I23" s="44"/>
      <c r="J23" s="44"/>
      <c r="K23" s="44" t="s">
        <v>231</v>
      </c>
      <c r="L23" s="44" t="s">
        <v>231</v>
      </c>
      <c r="M23" s="44" t="s">
        <v>231</v>
      </c>
      <c r="N23" s="36" t="s">
        <v>1537</v>
      </c>
      <c r="O23" s="36" t="s">
        <v>1715</v>
      </c>
      <c r="P23" s="45">
        <v>46071</v>
      </c>
      <c r="Q23" s="45">
        <v>46071</v>
      </c>
      <c r="R23" s="44">
        <v>2</v>
      </c>
      <c r="S23" s="46" t="s">
        <v>33</v>
      </c>
      <c r="T23" s="30" t="s">
        <v>234</v>
      </c>
      <c r="U23" s="222"/>
    </row>
    <row r="24" spans="1:21" s="40" customFormat="1" ht="30.75" customHeight="1" thickBot="1" x14ac:dyDescent="0.35">
      <c r="A24" s="30" t="str">
        <f t="array" ref="A24">IF(B24&lt;&gt;"",COUNTIF($B$19:B24,"&lt;&gt;"),"")</f>
        <v/>
      </c>
      <c r="B24" s="41"/>
      <c r="C24" s="42"/>
      <c r="D24" s="43"/>
      <c r="E24" s="42"/>
      <c r="F24" s="49"/>
      <c r="G24" s="36"/>
      <c r="H24" s="44"/>
      <c r="I24" s="44"/>
      <c r="J24" s="44"/>
      <c r="K24" s="44" t="s">
        <v>231</v>
      </c>
      <c r="L24" s="44" t="s">
        <v>231</v>
      </c>
      <c r="M24" s="44" t="s">
        <v>231</v>
      </c>
      <c r="N24" s="36" t="s">
        <v>1537</v>
      </c>
      <c r="O24" s="36" t="s">
        <v>1716</v>
      </c>
      <c r="P24" s="45">
        <v>46071</v>
      </c>
      <c r="Q24" s="45">
        <v>46071</v>
      </c>
      <c r="R24" s="44">
        <v>2</v>
      </c>
      <c r="S24" s="46" t="s">
        <v>33</v>
      </c>
      <c r="T24" s="30" t="s">
        <v>234</v>
      </c>
      <c r="U24" s="222"/>
    </row>
    <row r="25" spans="1:21" s="40" customFormat="1" ht="30.75" customHeight="1" thickBot="1" x14ac:dyDescent="0.35">
      <c r="A25" s="30" t="str">
        <f t="array" ref="A25">IF(B25&lt;&gt;"",COUNTIF($B$19:B25,"&lt;&gt;"),"")</f>
        <v/>
      </c>
      <c r="B25" s="41"/>
      <c r="C25" s="42"/>
      <c r="D25" s="43"/>
      <c r="E25" s="42"/>
      <c r="F25" s="49"/>
      <c r="G25" s="36"/>
      <c r="H25" s="44"/>
      <c r="I25" s="44"/>
      <c r="J25" s="44"/>
      <c r="K25" s="44" t="s">
        <v>231</v>
      </c>
      <c r="L25" s="44" t="s">
        <v>231</v>
      </c>
      <c r="M25" s="44" t="s">
        <v>231</v>
      </c>
      <c r="N25" s="36" t="s">
        <v>1537</v>
      </c>
      <c r="O25" s="36" t="s">
        <v>1717</v>
      </c>
      <c r="P25" s="45">
        <v>46073</v>
      </c>
      <c r="Q25" s="45">
        <v>46073</v>
      </c>
      <c r="R25" s="44">
        <v>2</v>
      </c>
      <c r="S25" s="46" t="s">
        <v>33</v>
      </c>
      <c r="T25" s="30" t="s">
        <v>234</v>
      </c>
      <c r="U25" s="223"/>
    </row>
    <row r="26" spans="1:21" s="59" customFormat="1" ht="39.950000000000003" customHeight="1" thickBot="1" x14ac:dyDescent="0.35">
      <c r="A26" s="30" t="str">
        <f t="array" ref="A26">IF(B26&lt;&gt;"",COUNTIF($B$19:B26,"&lt;&gt;"),"")</f>
        <v/>
      </c>
      <c r="B26" s="50"/>
      <c r="C26" s="51"/>
      <c r="D26" s="52"/>
      <c r="E26" s="51"/>
      <c r="F26" s="53"/>
      <c r="G26" s="53"/>
      <c r="H26" s="54"/>
      <c r="I26" s="54"/>
      <c r="J26" s="54"/>
      <c r="K26" s="54"/>
      <c r="L26" s="54"/>
      <c r="M26" s="54"/>
      <c r="N26" s="55"/>
      <c r="O26" s="55"/>
      <c r="P26" s="56"/>
      <c r="Q26" s="56"/>
      <c r="R26" s="54"/>
      <c r="S26" s="54"/>
      <c r="T26" s="57"/>
      <c r="U26" s="58"/>
    </row>
    <row r="27" spans="1:21" s="40" customFormat="1" ht="39.950000000000003" customHeight="1" thickBot="1" x14ac:dyDescent="0.35">
      <c r="A27" s="30">
        <f t="array" ref="A27">IF(B27&lt;&gt;"",COUNTIF($B$19:B27,"&lt;&gt;"),"")</f>
        <v>5</v>
      </c>
      <c r="B27" s="41">
        <v>317</v>
      </c>
      <c r="C27" s="42" t="s">
        <v>45</v>
      </c>
      <c r="D27" s="43" t="s">
        <v>46</v>
      </c>
      <c r="E27" s="42" t="s">
        <v>47</v>
      </c>
      <c r="F27" s="49" t="s">
        <v>48</v>
      </c>
      <c r="G27" s="36" t="s">
        <v>49</v>
      </c>
      <c r="H27" s="44"/>
      <c r="I27" s="44"/>
      <c r="J27" s="44"/>
      <c r="K27" s="44"/>
      <c r="L27" s="44"/>
      <c r="M27" s="44"/>
      <c r="N27" s="36"/>
      <c r="O27" s="36"/>
      <c r="P27" s="45"/>
      <c r="Q27" s="45"/>
      <c r="R27" s="44"/>
      <c r="S27" s="46" t="s">
        <v>37</v>
      </c>
      <c r="T27" s="30"/>
      <c r="U27" s="39">
        <f>SUM(' PLAN Y PROGRAMA ANUAL 2026'!$R27:$R27)</f>
        <v>0</v>
      </c>
    </row>
    <row r="28" spans="1:21" s="40" customFormat="1" ht="39.75" customHeight="1" thickBot="1" x14ac:dyDescent="0.35">
      <c r="A28" s="30">
        <f t="array" ref="A28">IF(B28&lt;&gt;"",COUNTIF($B$19:B28,"&lt;&gt;"),"")</f>
        <v>6</v>
      </c>
      <c r="B28" s="41">
        <v>317</v>
      </c>
      <c r="C28" s="42" t="s">
        <v>50</v>
      </c>
      <c r="D28" s="43">
        <v>206105</v>
      </c>
      <c r="E28" s="42" t="s">
        <v>51</v>
      </c>
      <c r="F28" s="49" t="s">
        <v>48</v>
      </c>
      <c r="G28" s="36" t="s">
        <v>52</v>
      </c>
      <c r="H28" s="44"/>
      <c r="I28" s="44"/>
      <c r="J28" s="44"/>
      <c r="K28" s="44" t="s">
        <v>231</v>
      </c>
      <c r="L28" s="44" t="s">
        <v>231</v>
      </c>
      <c r="M28" s="44" t="s">
        <v>231</v>
      </c>
      <c r="N28" s="36" t="s">
        <v>1537</v>
      </c>
      <c r="O28" s="36" t="s">
        <v>1713</v>
      </c>
      <c r="P28" s="45">
        <v>46069</v>
      </c>
      <c r="Q28" s="45">
        <v>46069</v>
      </c>
      <c r="R28" s="44">
        <v>2</v>
      </c>
      <c r="S28" s="46" t="s">
        <v>37</v>
      </c>
      <c r="T28" s="30" t="s">
        <v>234</v>
      </c>
      <c r="U28" s="221">
        <f>SUM(' PLAN Y PROGRAMA ANUAL 2026'!$R28:$R30)</f>
        <v>6</v>
      </c>
    </row>
    <row r="29" spans="1:21" s="40" customFormat="1" ht="39.75" customHeight="1" thickBot="1" x14ac:dyDescent="0.35">
      <c r="A29" s="30" t="str">
        <f t="array" ref="A29">IF(B29&lt;&gt;"",COUNTIF($B$19:B29,"&lt;&gt;"),"")</f>
        <v/>
      </c>
      <c r="B29" s="41"/>
      <c r="C29" s="42"/>
      <c r="D29" s="43"/>
      <c r="E29" s="42"/>
      <c r="F29" s="49"/>
      <c r="G29" s="36"/>
      <c r="H29" s="44"/>
      <c r="I29" s="44"/>
      <c r="J29" s="44"/>
      <c r="K29" s="44" t="s">
        <v>231</v>
      </c>
      <c r="L29" s="44" t="s">
        <v>231</v>
      </c>
      <c r="M29" s="44" t="s">
        <v>231</v>
      </c>
      <c r="N29" s="36" t="s">
        <v>1537</v>
      </c>
      <c r="O29" s="36" t="s">
        <v>1715</v>
      </c>
      <c r="P29" s="45">
        <v>46071</v>
      </c>
      <c r="Q29" s="45">
        <v>46071</v>
      </c>
      <c r="R29" s="44">
        <v>2</v>
      </c>
      <c r="S29" s="46" t="s">
        <v>37</v>
      </c>
      <c r="T29" s="30" t="s">
        <v>234</v>
      </c>
      <c r="U29" s="222"/>
    </row>
    <row r="30" spans="1:21" s="40" customFormat="1" ht="39.75" customHeight="1" thickBot="1" x14ac:dyDescent="0.35">
      <c r="A30" s="30" t="str">
        <f t="array" ref="A30">IF(B30&lt;&gt;"",COUNTIF($B$19:B30,"&lt;&gt;"),"")</f>
        <v/>
      </c>
      <c r="B30" s="41"/>
      <c r="C30" s="42"/>
      <c r="D30" s="43"/>
      <c r="E30" s="42"/>
      <c r="F30" s="49"/>
      <c r="G30" s="36"/>
      <c r="H30" s="44"/>
      <c r="I30" s="44"/>
      <c r="J30" s="44"/>
      <c r="K30" s="44" t="s">
        <v>231</v>
      </c>
      <c r="L30" s="44" t="s">
        <v>231</v>
      </c>
      <c r="M30" s="44" t="s">
        <v>231</v>
      </c>
      <c r="N30" s="36" t="s">
        <v>1537</v>
      </c>
      <c r="O30" s="36" t="s">
        <v>1717</v>
      </c>
      <c r="P30" s="45">
        <v>46073</v>
      </c>
      <c r="Q30" s="45">
        <v>46073</v>
      </c>
      <c r="R30" s="44">
        <v>2</v>
      </c>
      <c r="S30" s="46" t="s">
        <v>37</v>
      </c>
      <c r="T30" s="30" t="s">
        <v>234</v>
      </c>
      <c r="U30" s="223"/>
    </row>
    <row r="31" spans="1:21" s="40" customFormat="1" ht="39.75" customHeight="1" thickBot="1" x14ac:dyDescent="0.35">
      <c r="A31" s="30">
        <f t="array" ref="A31">IF(B31&lt;&gt;"",COUNTIF($B$19:B31,"&lt;&gt;"),"")</f>
        <v>7</v>
      </c>
      <c r="B31" s="41">
        <v>317</v>
      </c>
      <c r="C31" s="42" t="s">
        <v>53</v>
      </c>
      <c r="D31" s="43">
        <v>206108</v>
      </c>
      <c r="E31" s="42" t="s">
        <v>54</v>
      </c>
      <c r="F31" s="49" t="s">
        <v>48</v>
      </c>
      <c r="G31" s="36" t="s">
        <v>55</v>
      </c>
      <c r="H31" s="44"/>
      <c r="I31" s="44"/>
      <c r="J31" s="44"/>
      <c r="K31" s="44"/>
      <c r="L31" s="44"/>
      <c r="M31" s="44"/>
      <c r="N31" s="36" t="s">
        <v>56</v>
      </c>
      <c r="O31" s="36"/>
      <c r="P31" s="45"/>
      <c r="Q31" s="45"/>
      <c r="R31" s="44" t="s">
        <v>56</v>
      </c>
      <c r="S31" s="46" t="s">
        <v>33</v>
      </c>
      <c r="T31" s="30" t="str">
        <f>IFERROR(VLOOKUP(O31, '[1]CURSOS 2025'!A:B, 2, FALSE), "")</f>
        <v/>
      </c>
      <c r="U31" s="39">
        <f>SUM(' PLAN Y PROGRAMA ANUAL 2026'!$R31:$R31)</f>
        <v>0</v>
      </c>
    </row>
    <row r="32" spans="1:21" s="40" customFormat="1" ht="39.950000000000003" customHeight="1" thickBot="1" x14ac:dyDescent="0.35">
      <c r="A32" s="30">
        <f t="array" ref="A32">IF(B32&lt;&gt;"",COUNTIF($B$19:B32,"&lt;&gt;"),"")</f>
        <v>8</v>
      </c>
      <c r="B32" s="41">
        <v>317</v>
      </c>
      <c r="C32" s="42" t="s">
        <v>57</v>
      </c>
      <c r="D32" s="43">
        <v>6178</v>
      </c>
      <c r="E32" s="42" t="s">
        <v>58</v>
      </c>
      <c r="F32" s="49" t="s">
        <v>48</v>
      </c>
      <c r="G32" s="36" t="s">
        <v>59</v>
      </c>
      <c r="H32" s="44"/>
      <c r="I32" s="44"/>
      <c r="J32" s="44"/>
      <c r="K32" s="44"/>
      <c r="L32" s="44"/>
      <c r="M32" s="44"/>
      <c r="N32" s="36"/>
      <c r="O32" s="36"/>
      <c r="P32" s="45"/>
      <c r="Q32" s="45"/>
      <c r="R32" s="44" t="s">
        <v>56</v>
      </c>
      <c r="S32" s="44" t="s">
        <v>37</v>
      </c>
      <c r="T32" s="30" t="str">
        <f>IFERROR(VLOOKUP(O32, '[1]CURSOS 2025'!A:B, 2, FALSE), "")</f>
        <v/>
      </c>
      <c r="U32" s="48">
        <f>SUM(' PLAN Y PROGRAMA ANUAL 2026'!$R32)</f>
        <v>0</v>
      </c>
    </row>
    <row r="33" spans="1:21" s="40" customFormat="1" ht="39.950000000000003" customHeight="1" thickBot="1" x14ac:dyDescent="0.35">
      <c r="A33" s="30">
        <f t="array" ref="A33">IF(B33&lt;&gt;"",COUNTIF($B$19:B33,"&lt;&gt;"),"")</f>
        <v>9</v>
      </c>
      <c r="B33" s="41">
        <v>317</v>
      </c>
      <c r="C33" s="42" t="s">
        <v>45</v>
      </c>
      <c r="D33" s="43">
        <v>6190</v>
      </c>
      <c r="E33" s="42" t="s">
        <v>60</v>
      </c>
      <c r="F33" s="49" t="s">
        <v>48</v>
      </c>
      <c r="G33" s="36" t="s">
        <v>61</v>
      </c>
      <c r="H33" s="44"/>
      <c r="I33" s="44"/>
      <c r="J33" s="44"/>
      <c r="K33" s="44"/>
      <c r="L33" s="44"/>
      <c r="M33" s="44"/>
      <c r="N33" s="36"/>
      <c r="O33" s="36"/>
      <c r="P33" s="45"/>
      <c r="Q33" s="45"/>
      <c r="R33" s="44"/>
      <c r="S33" s="46" t="s">
        <v>37</v>
      </c>
      <c r="T33" s="30" t="str">
        <f>IFERROR(VLOOKUP(O33, '[1]CURSOS 2025'!A:B, 2, FALSE), "")</f>
        <v/>
      </c>
      <c r="U33" s="39">
        <f>SUM(' PLAN Y PROGRAMA ANUAL 2026'!$R33:$R33)</f>
        <v>0</v>
      </c>
    </row>
    <row r="34" spans="1:21" s="40" customFormat="1" ht="39.950000000000003" customHeight="1" thickBot="1" x14ac:dyDescent="0.35">
      <c r="A34" s="30">
        <f t="array" ref="A34">IF(B34&lt;&gt;"",COUNTIF($B$19:B34,"&lt;&gt;"),"")</f>
        <v>10</v>
      </c>
      <c r="B34" s="41">
        <v>317</v>
      </c>
      <c r="C34" s="42" t="s">
        <v>62</v>
      </c>
      <c r="D34" s="43">
        <v>206225</v>
      </c>
      <c r="E34" s="42" t="s">
        <v>63</v>
      </c>
      <c r="F34" s="49" t="s">
        <v>48</v>
      </c>
      <c r="G34" s="36" t="s">
        <v>64</v>
      </c>
      <c r="H34" s="44"/>
      <c r="I34" s="44"/>
      <c r="J34" s="44"/>
      <c r="K34" s="44" t="s">
        <v>231</v>
      </c>
      <c r="L34" s="44" t="s">
        <v>231</v>
      </c>
      <c r="M34" s="44" t="s">
        <v>231</v>
      </c>
      <c r="N34" s="36" t="s">
        <v>1537</v>
      </c>
      <c r="O34" s="36" t="s">
        <v>1717</v>
      </c>
      <c r="P34" s="45">
        <v>46073</v>
      </c>
      <c r="Q34" s="45">
        <v>46073</v>
      </c>
      <c r="R34" s="44">
        <v>2</v>
      </c>
      <c r="S34" s="46" t="s">
        <v>33</v>
      </c>
      <c r="T34" s="30" t="s">
        <v>234</v>
      </c>
      <c r="U34" s="39">
        <f>SUM(R34:R34)</f>
        <v>2</v>
      </c>
    </row>
    <row r="35" spans="1:21" s="40" customFormat="1" ht="39.950000000000003" customHeight="1" thickBot="1" x14ac:dyDescent="0.35">
      <c r="A35" s="30">
        <f t="array" ref="A35">IF(B35&lt;&gt;"",COUNTIF($B$19:B35,"&lt;&gt;"),"")</f>
        <v>11</v>
      </c>
      <c r="B35" s="41">
        <v>317</v>
      </c>
      <c r="C35" s="42" t="s">
        <v>65</v>
      </c>
      <c r="D35" s="43">
        <v>3325</v>
      </c>
      <c r="E35" s="42" t="s">
        <v>66</v>
      </c>
      <c r="F35" s="49" t="s">
        <v>48</v>
      </c>
      <c r="G35" s="36" t="s">
        <v>67</v>
      </c>
      <c r="H35" s="44"/>
      <c r="I35" s="44"/>
      <c r="J35" s="44"/>
      <c r="K35" s="44" t="s">
        <v>231</v>
      </c>
      <c r="L35" s="44" t="s">
        <v>231</v>
      </c>
      <c r="M35" s="44" t="s">
        <v>231</v>
      </c>
      <c r="N35" s="36" t="s">
        <v>1537</v>
      </c>
      <c r="O35" s="36" t="s">
        <v>1714</v>
      </c>
      <c r="P35" s="45">
        <v>46070</v>
      </c>
      <c r="Q35" s="45">
        <v>46070</v>
      </c>
      <c r="R35" s="44">
        <v>2</v>
      </c>
      <c r="S35" s="46" t="s">
        <v>33</v>
      </c>
      <c r="T35" s="30" t="s">
        <v>234</v>
      </c>
      <c r="U35" s="39">
        <f>SUM(' PLAN Y PROGRAMA ANUAL 2026'!$R35:$R35)</f>
        <v>2</v>
      </c>
    </row>
    <row r="36" spans="1:21" s="40" customFormat="1" ht="39.950000000000003" customHeight="1" thickBot="1" x14ac:dyDescent="0.35">
      <c r="A36" s="30">
        <f t="array" ref="A36">IF(B36&lt;&gt;"",COUNTIF($B$19:B36,"&lt;&gt;"),"")</f>
        <v>12</v>
      </c>
      <c r="B36" s="41">
        <v>317</v>
      </c>
      <c r="C36" s="42" t="s">
        <v>65</v>
      </c>
      <c r="D36" s="43">
        <v>3282</v>
      </c>
      <c r="E36" s="42" t="s">
        <v>68</v>
      </c>
      <c r="F36" s="49" t="s">
        <v>48</v>
      </c>
      <c r="G36" s="36" t="s">
        <v>69</v>
      </c>
      <c r="H36" s="44"/>
      <c r="I36" s="44"/>
      <c r="J36" s="44"/>
      <c r="K36" s="44"/>
      <c r="L36" s="44"/>
      <c r="M36" s="44"/>
      <c r="N36" s="36"/>
      <c r="O36" s="36"/>
      <c r="P36" s="45"/>
      <c r="Q36" s="45"/>
      <c r="R36" s="44"/>
      <c r="S36" s="44" t="s">
        <v>33</v>
      </c>
      <c r="T36" s="30" t="str">
        <f>IFERROR(VLOOKUP(O36, '[1]CURSOS 2025'!A:B, 2, FALSE), "")</f>
        <v/>
      </c>
      <c r="U36" s="48">
        <f>SUM(' PLAN Y PROGRAMA ANUAL 2026'!$R36)</f>
        <v>0</v>
      </c>
    </row>
    <row r="37" spans="1:21" s="40" customFormat="1" ht="39.950000000000003" customHeight="1" thickBot="1" x14ac:dyDescent="0.35">
      <c r="A37" s="30">
        <f t="array" ref="A37">IF(B37&lt;&gt;"",COUNTIF($B$19:B37,"&lt;&gt;"),"")</f>
        <v>13</v>
      </c>
      <c r="B37" s="41">
        <v>317</v>
      </c>
      <c r="C37" s="42" t="s">
        <v>65</v>
      </c>
      <c r="D37" s="43">
        <v>3726</v>
      </c>
      <c r="E37" s="42" t="s">
        <v>70</v>
      </c>
      <c r="F37" s="49" t="s">
        <v>48</v>
      </c>
      <c r="G37" s="36" t="s">
        <v>71</v>
      </c>
      <c r="H37" s="44"/>
      <c r="I37" s="44"/>
      <c r="J37" s="44"/>
      <c r="K37" s="44"/>
      <c r="L37" s="44"/>
      <c r="M37" s="44"/>
      <c r="N37" s="36" t="s">
        <v>56</v>
      </c>
      <c r="O37" s="36"/>
      <c r="P37" s="45"/>
      <c r="Q37" s="45"/>
      <c r="R37" s="44"/>
      <c r="S37" s="44" t="s">
        <v>33</v>
      </c>
      <c r="T37" s="30" t="str">
        <f>IFERROR(VLOOKUP(O37, '[1]CURSOS 2025'!A:B, 2, FALSE), "")</f>
        <v/>
      </c>
      <c r="U37" s="48">
        <f>SUM(' PLAN Y PROGRAMA ANUAL 2026'!$R37)</f>
        <v>0</v>
      </c>
    </row>
    <row r="38" spans="1:21" s="40" customFormat="1" ht="39.950000000000003" customHeight="1" thickBot="1" x14ac:dyDescent="0.35">
      <c r="A38" s="30">
        <f t="array" ref="A38">IF(B38&lt;&gt;"",COUNTIF($B$19:B38,"&lt;&gt;"),"")</f>
        <v>14</v>
      </c>
      <c r="B38" s="41">
        <v>317</v>
      </c>
      <c r="C38" s="42" t="s">
        <v>65</v>
      </c>
      <c r="D38" s="43">
        <v>1780</v>
      </c>
      <c r="E38" s="42" t="s">
        <v>72</v>
      </c>
      <c r="F38" s="49" t="s">
        <v>48</v>
      </c>
      <c r="G38" s="36" t="s">
        <v>73</v>
      </c>
      <c r="H38" s="44"/>
      <c r="I38" s="44"/>
      <c r="J38" s="44"/>
      <c r="K38" s="44"/>
      <c r="L38" s="44"/>
      <c r="M38" s="44"/>
      <c r="N38" s="36"/>
      <c r="O38" s="36"/>
      <c r="P38" s="45"/>
      <c r="Q38" s="45"/>
      <c r="R38" s="44" t="s">
        <v>56</v>
      </c>
      <c r="S38" s="44" t="s">
        <v>33</v>
      </c>
      <c r="T38" s="30" t="str">
        <f>IFERROR(VLOOKUP(O38, '[1]CURSOS 2025'!A:B, 2, FALSE), "")</f>
        <v/>
      </c>
      <c r="U38" s="48">
        <f>SUM(' PLAN Y PROGRAMA ANUAL 2026'!$R38)</f>
        <v>0</v>
      </c>
    </row>
    <row r="39" spans="1:21" s="40" customFormat="1" ht="39.950000000000003" customHeight="1" thickBot="1" x14ac:dyDescent="0.35">
      <c r="A39" s="30">
        <f t="array" ref="A39">IF(B39&lt;&gt;"",COUNTIF($B$19:B39,"&lt;&gt;"),"")</f>
        <v>15</v>
      </c>
      <c r="B39" s="41">
        <v>317</v>
      </c>
      <c r="C39" s="42" t="s">
        <v>74</v>
      </c>
      <c r="D39" s="43" t="s">
        <v>75</v>
      </c>
      <c r="E39" s="42" t="s">
        <v>76</v>
      </c>
      <c r="F39" s="49" t="s">
        <v>48</v>
      </c>
      <c r="G39" s="36" t="s">
        <v>77</v>
      </c>
      <c r="H39" s="44"/>
      <c r="I39" s="44"/>
      <c r="J39" s="44"/>
      <c r="K39" s="44" t="s">
        <v>231</v>
      </c>
      <c r="L39" s="44" t="s">
        <v>231</v>
      </c>
      <c r="M39" s="44" t="s">
        <v>231</v>
      </c>
      <c r="N39" s="36" t="s">
        <v>1537</v>
      </c>
      <c r="O39" s="36" t="s">
        <v>1717</v>
      </c>
      <c r="P39" s="45">
        <v>46073</v>
      </c>
      <c r="Q39" s="45">
        <v>46073</v>
      </c>
      <c r="R39" s="44">
        <v>2</v>
      </c>
      <c r="S39" s="46" t="s">
        <v>33</v>
      </c>
      <c r="T39" s="30" t="s">
        <v>234</v>
      </c>
      <c r="U39" s="39">
        <f>SUM(' PLAN Y PROGRAMA ANUAL 2026'!$R39:$R39)</f>
        <v>2</v>
      </c>
    </row>
    <row r="40" spans="1:21" s="40" customFormat="1" ht="39.950000000000003" customHeight="1" thickBot="1" x14ac:dyDescent="0.35">
      <c r="A40" s="30">
        <f t="array" ref="A40">IF(B40&lt;&gt;"",COUNTIF($B$19:B40,"&lt;&gt;"),"")</f>
        <v>16</v>
      </c>
      <c r="B40" s="41">
        <v>317</v>
      </c>
      <c r="C40" s="42" t="s">
        <v>74</v>
      </c>
      <c r="D40" s="43" t="s">
        <v>78</v>
      </c>
      <c r="E40" s="42" t="s">
        <v>79</v>
      </c>
      <c r="F40" s="49" t="s">
        <v>48</v>
      </c>
      <c r="G40" s="42" t="s">
        <v>80</v>
      </c>
      <c r="H40" s="44"/>
      <c r="I40" s="44"/>
      <c r="J40" s="44"/>
      <c r="K40" s="44" t="s">
        <v>231</v>
      </c>
      <c r="L40" s="44" t="s">
        <v>231</v>
      </c>
      <c r="M40" s="44" t="s">
        <v>231</v>
      </c>
      <c r="N40" s="36" t="s">
        <v>1537</v>
      </c>
      <c r="O40" s="36" t="s">
        <v>1717</v>
      </c>
      <c r="P40" s="45">
        <v>46073</v>
      </c>
      <c r="Q40" s="45">
        <v>46073</v>
      </c>
      <c r="R40" s="44">
        <v>2</v>
      </c>
      <c r="S40" s="46" t="s">
        <v>37</v>
      </c>
      <c r="T40" s="30" t="s">
        <v>234</v>
      </c>
      <c r="U40" s="221">
        <f>SUM(R40:R41)</f>
        <v>4</v>
      </c>
    </row>
    <row r="41" spans="1:21" s="40" customFormat="1" ht="39.950000000000003" customHeight="1" thickBot="1" x14ac:dyDescent="0.35">
      <c r="A41" s="30"/>
      <c r="B41" s="41"/>
      <c r="C41" s="42"/>
      <c r="D41" s="43"/>
      <c r="E41" s="42"/>
      <c r="F41" s="49"/>
      <c r="G41" s="42"/>
      <c r="H41" s="44"/>
      <c r="I41" s="44"/>
      <c r="J41" s="44"/>
      <c r="K41" s="44" t="s">
        <v>231</v>
      </c>
      <c r="L41" s="44" t="s">
        <v>231</v>
      </c>
      <c r="M41" s="44" t="s">
        <v>231</v>
      </c>
      <c r="N41" s="36" t="s">
        <v>1537</v>
      </c>
      <c r="O41" s="36" t="s">
        <v>1715</v>
      </c>
      <c r="P41" s="45">
        <v>46071</v>
      </c>
      <c r="Q41" s="45">
        <v>46071</v>
      </c>
      <c r="R41" s="44">
        <v>2</v>
      </c>
      <c r="S41" s="46" t="s">
        <v>37</v>
      </c>
      <c r="T41" s="30" t="s">
        <v>234</v>
      </c>
      <c r="U41" s="223"/>
    </row>
    <row r="42" spans="1:21" s="40" customFormat="1" ht="39.950000000000003" customHeight="1" thickBot="1" x14ac:dyDescent="0.45">
      <c r="A42" s="30">
        <f t="array" ref="A42">IF(B42&lt;&gt;"",COUNTIF($B$19:B42,"&lt;&gt;"),"")</f>
        <v>17</v>
      </c>
      <c r="B42" s="41">
        <v>317</v>
      </c>
      <c r="C42" s="42" t="s">
        <v>81</v>
      </c>
      <c r="D42" s="43" t="s">
        <v>82</v>
      </c>
      <c r="E42" s="42" t="s">
        <v>83</v>
      </c>
      <c r="F42" s="49" t="s">
        <v>48</v>
      </c>
      <c r="G42" s="60" t="s">
        <v>84</v>
      </c>
      <c r="H42" s="44"/>
      <c r="I42" s="44"/>
      <c r="J42" s="44"/>
      <c r="K42" s="44" t="s">
        <v>231</v>
      </c>
      <c r="L42" s="44" t="s">
        <v>231</v>
      </c>
      <c r="M42" s="44" t="s">
        <v>231</v>
      </c>
      <c r="N42" s="36" t="s">
        <v>1537</v>
      </c>
      <c r="O42" s="36" t="s">
        <v>1715</v>
      </c>
      <c r="P42" s="45">
        <v>46071</v>
      </c>
      <c r="Q42" s="45">
        <v>46071</v>
      </c>
      <c r="R42" s="44">
        <v>2</v>
      </c>
      <c r="S42" s="46" t="s">
        <v>37</v>
      </c>
      <c r="T42" s="30" t="s">
        <v>234</v>
      </c>
      <c r="U42" s="221">
        <f>SUM(' PLAN Y PROGRAMA ANUAL 2026'!$R42:$R43)</f>
        <v>4</v>
      </c>
    </row>
    <row r="43" spans="1:21" s="40" customFormat="1" ht="39.950000000000003" customHeight="1" thickBot="1" x14ac:dyDescent="0.45">
      <c r="A43" s="30" t="str">
        <f t="array" ref="A43">IF(B43&lt;&gt;"",COUNTIF($B$19:B43,"&lt;&gt;"),"")</f>
        <v/>
      </c>
      <c r="B43" s="41"/>
      <c r="C43" s="42"/>
      <c r="D43" s="43"/>
      <c r="E43" s="42"/>
      <c r="F43" s="49"/>
      <c r="G43" s="60"/>
      <c r="H43" s="44"/>
      <c r="I43" s="44"/>
      <c r="J43" s="44"/>
      <c r="K43" s="44" t="s">
        <v>231</v>
      </c>
      <c r="L43" s="44" t="s">
        <v>231</v>
      </c>
      <c r="M43" s="44" t="s">
        <v>231</v>
      </c>
      <c r="N43" s="36" t="s">
        <v>1537</v>
      </c>
      <c r="O43" s="36" t="s">
        <v>1717</v>
      </c>
      <c r="P43" s="45">
        <v>46073</v>
      </c>
      <c r="Q43" s="45">
        <v>46073</v>
      </c>
      <c r="R43" s="44">
        <v>2</v>
      </c>
      <c r="S43" s="46" t="s">
        <v>37</v>
      </c>
      <c r="T43" s="30" t="s">
        <v>234</v>
      </c>
      <c r="U43" s="223"/>
    </row>
    <row r="44" spans="1:21" s="40" customFormat="1" ht="68.25" customHeight="1" thickBot="1" x14ac:dyDescent="0.35">
      <c r="A44" s="30">
        <f t="array" ref="A44">IF(B44&lt;&gt;"",COUNTIF($B$19:B44,"&lt;&gt;"),"")</f>
        <v>18</v>
      </c>
      <c r="B44" s="41">
        <v>317</v>
      </c>
      <c r="C44" s="42" t="s">
        <v>81</v>
      </c>
      <c r="D44" s="43" t="s">
        <v>85</v>
      </c>
      <c r="E44" s="42" t="s">
        <v>86</v>
      </c>
      <c r="F44" s="49" t="s">
        <v>48</v>
      </c>
      <c r="G44" s="61" t="s">
        <v>87</v>
      </c>
      <c r="H44" s="44"/>
      <c r="I44" s="44"/>
      <c r="J44" s="44"/>
      <c r="K44" s="44" t="s">
        <v>231</v>
      </c>
      <c r="L44" s="44" t="s">
        <v>231</v>
      </c>
      <c r="M44" s="44" t="s">
        <v>231</v>
      </c>
      <c r="N44" s="36" t="s">
        <v>1537</v>
      </c>
      <c r="O44" s="36" t="s">
        <v>1715</v>
      </c>
      <c r="P44" s="45">
        <v>46071</v>
      </c>
      <c r="Q44" s="45">
        <v>46071</v>
      </c>
      <c r="R44" s="44">
        <v>2</v>
      </c>
      <c r="S44" s="46" t="s">
        <v>33</v>
      </c>
      <c r="T44" s="30" t="s">
        <v>234</v>
      </c>
      <c r="U44" s="39">
        <f>SUM(R44:R44)</f>
        <v>2</v>
      </c>
    </row>
    <row r="45" spans="1:21" s="40" customFormat="1" ht="39.950000000000003" customHeight="1" thickBot="1" x14ac:dyDescent="0.35">
      <c r="A45" s="30">
        <f t="array" ref="A45">IF(B45&lt;&gt;"",COUNTIF($B$19:B45,"&lt;&gt;"),"")</f>
        <v>19</v>
      </c>
      <c r="B45" s="41">
        <v>317</v>
      </c>
      <c r="C45" s="42" t="s">
        <v>74</v>
      </c>
      <c r="D45" s="43" t="s">
        <v>88</v>
      </c>
      <c r="E45" s="42" t="s">
        <v>89</v>
      </c>
      <c r="F45" s="49" t="s">
        <v>48</v>
      </c>
      <c r="G45" s="42" t="s">
        <v>90</v>
      </c>
      <c r="H45" s="44"/>
      <c r="I45" s="44"/>
      <c r="J45" s="44"/>
      <c r="K45" s="44" t="s">
        <v>231</v>
      </c>
      <c r="L45" s="44" t="s">
        <v>231</v>
      </c>
      <c r="M45" s="44" t="s">
        <v>231</v>
      </c>
      <c r="N45" s="36" t="s">
        <v>1537</v>
      </c>
      <c r="O45" s="36" t="s">
        <v>1717</v>
      </c>
      <c r="P45" s="45">
        <v>46073</v>
      </c>
      <c r="Q45" s="45">
        <v>46073</v>
      </c>
      <c r="R45" s="44">
        <v>2</v>
      </c>
      <c r="S45" s="46" t="s">
        <v>33</v>
      </c>
      <c r="T45" s="30" t="s">
        <v>234</v>
      </c>
      <c r="U45" s="39">
        <f>SUM(' PLAN Y PROGRAMA ANUAL 2026'!$R45:$R45)</f>
        <v>2</v>
      </c>
    </row>
    <row r="46" spans="1:21" s="40" customFormat="1" ht="39.950000000000003" customHeight="1" thickBot="1" x14ac:dyDescent="0.45">
      <c r="A46" s="30">
        <f t="array" ref="A46">IF(B46&lt;&gt;"",COUNTIF($B$19:B46,"&lt;&gt;"),"")</f>
        <v>20</v>
      </c>
      <c r="B46" s="41">
        <v>317</v>
      </c>
      <c r="C46" s="42" t="s">
        <v>74</v>
      </c>
      <c r="D46" s="43" t="s">
        <v>91</v>
      </c>
      <c r="E46" s="42" t="s">
        <v>92</v>
      </c>
      <c r="F46" s="49" t="s">
        <v>48</v>
      </c>
      <c r="G46" s="62" t="s">
        <v>93</v>
      </c>
      <c r="H46" s="44"/>
      <c r="I46" s="44"/>
      <c r="J46" s="44"/>
      <c r="K46" s="44" t="s">
        <v>231</v>
      </c>
      <c r="L46" s="44" t="s">
        <v>231</v>
      </c>
      <c r="M46" s="44" t="s">
        <v>231</v>
      </c>
      <c r="N46" s="36" t="s">
        <v>1537</v>
      </c>
      <c r="O46" s="36" t="s">
        <v>1717</v>
      </c>
      <c r="P46" s="45">
        <v>46073</v>
      </c>
      <c r="Q46" s="45">
        <v>46073</v>
      </c>
      <c r="R46" s="44">
        <v>2</v>
      </c>
      <c r="S46" s="46" t="s">
        <v>33</v>
      </c>
      <c r="T46" s="30" t="s">
        <v>234</v>
      </c>
      <c r="U46" s="39">
        <f>SUM(' PLAN Y PROGRAMA ANUAL 2026'!$R46:$R46)</f>
        <v>2</v>
      </c>
    </row>
    <row r="47" spans="1:21" s="40" customFormat="1" ht="39.950000000000003" customHeight="1" thickBot="1" x14ac:dyDescent="0.35">
      <c r="A47" s="30">
        <f t="array" ref="A47">IF(B47&lt;&gt;"",COUNTIF($B$19:B47,"&lt;&gt;"),"")</f>
        <v>21</v>
      </c>
      <c r="B47" s="41">
        <v>317</v>
      </c>
      <c r="C47" s="42" t="s">
        <v>74</v>
      </c>
      <c r="D47" s="43" t="s">
        <v>94</v>
      </c>
      <c r="E47" s="42" t="s">
        <v>95</v>
      </c>
      <c r="F47" s="49" t="s">
        <v>48</v>
      </c>
      <c r="G47" s="49" t="s">
        <v>96</v>
      </c>
      <c r="H47" s="44"/>
      <c r="I47" s="44"/>
      <c r="J47" s="44"/>
      <c r="K47" s="44"/>
      <c r="L47" s="44"/>
      <c r="M47" s="44"/>
      <c r="N47" s="36"/>
      <c r="O47" s="36"/>
      <c r="P47" s="45"/>
      <c r="Q47" s="45"/>
      <c r="R47" s="44"/>
      <c r="S47" s="46" t="s">
        <v>37</v>
      </c>
      <c r="T47" s="30" t="str">
        <f>IFERROR(VLOOKUP(O47, '[1]CURSOS 2025'!A:B, 2, FALSE), "")</f>
        <v/>
      </c>
      <c r="U47" s="63">
        <f>SUM(R47:R47)</f>
        <v>0</v>
      </c>
    </row>
    <row r="48" spans="1:21" s="40" customFormat="1" ht="39.950000000000003" customHeight="1" thickBot="1" x14ac:dyDescent="0.35">
      <c r="A48" s="30">
        <f t="array" ref="A48">IF(B48&lt;&gt;"",COUNTIF($B$19:B48,"&lt;&gt;"),"")</f>
        <v>22</v>
      </c>
      <c r="B48" s="41">
        <v>317</v>
      </c>
      <c r="C48" s="42" t="s">
        <v>74</v>
      </c>
      <c r="D48" s="43" t="s">
        <v>97</v>
      </c>
      <c r="E48" s="42" t="s">
        <v>98</v>
      </c>
      <c r="F48" s="49" t="s">
        <v>48</v>
      </c>
      <c r="G48" s="49" t="s">
        <v>99</v>
      </c>
      <c r="H48" s="44"/>
      <c r="I48" s="44"/>
      <c r="J48" s="44"/>
      <c r="K48" s="44"/>
      <c r="L48" s="44"/>
      <c r="M48" s="44"/>
      <c r="N48" s="36"/>
      <c r="O48" s="36"/>
      <c r="P48" s="45"/>
      <c r="Q48" s="45"/>
      <c r="R48" s="44"/>
      <c r="S48" s="46" t="s">
        <v>37</v>
      </c>
      <c r="T48" s="30" t="str">
        <f>IFERROR(VLOOKUP(O48, '[1]CURSOS 2025'!A:B, 2, FALSE), "")</f>
        <v/>
      </c>
      <c r="U48" s="39">
        <f>SUM(R48:R48)</f>
        <v>0</v>
      </c>
    </row>
    <row r="49" spans="1:21" s="40" customFormat="1" ht="39.950000000000003" customHeight="1" thickBot="1" x14ac:dyDescent="0.35">
      <c r="A49" s="30">
        <f t="array" ref="A49">IF(B49&lt;&gt;"",COUNTIF($B$19:B49,"&lt;&gt;"),"")</f>
        <v>23</v>
      </c>
      <c r="B49" s="41">
        <v>317</v>
      </c>
      <c r="C49" s="42" t="s">
        <v>65</v>
      </c>
      <c r="D49" s="43" t="s">
        <v>100</v>
      </c>
      <c r="E49" s="42" t="s">
        <v>101</v>
      </c>
      <c r="F49" s="49" t="s">
        <v>48</v>
      </c>
      <c r="G49" s="36" t="s">
        <v>102</v>
      </c>
      <c r="H49" s="44"/>
      <c r="I49" s="44"/>
      <c r="J49" s="44"/>
      <c r="K49" s="44"/>
      <c r="L49" s="44"/>
      <c r="M49" s="44"/>
      <c r="N49" s="36"/>
      <c r="O49" s="36"/>
      <c r="P49" s="45"/>
      <c r="Q49" s="45"/>
      <c r="R49" s="44"/>
      <c r="S49" s="44" t="s">
        <v>33</v>
      </c>
      <c r="T49" s="30"/>
      <c r="U49" s="48">
        <f>SUM(R49)</f>
        <v>0</v>
      </c>
    </row>
    <row r="50" spans="1:21" s="40" customFormat="1" ht="39.950000000000003" customHeight="1" thickBot="1" x14ac:dyDescent="0.35">
      <c r="A50" s="30">
        <f t="array" ref="A50">IF(B50&lt;&gt;"",COUNTIF($B$19:B50,"&lt;&gt;"),"")</f>
        <v>24</v>
      </c>
      <c r="B50" s="41">
        <v>317</v>
      </c>
      <c r="C50" s="42" t="s">
        <v>74</v>
      </c>
      <c r="D50" s="43" t="s">
        <v>103</v>
      </c>
      <c r="E50" s="42" t="s">
        <v>104</v>
      </c>
      <c r="F50" s="49" t="s">
        <v>48</v>
      </c>
      <c r="G50" s="36" t="s">
        <v>105</v>
      </c>
      <c r="H50" s="44"/>
      <c r="I50" s="44"/>
      <c r="J50" s="44"/>
      <c r="K50" s="44"/>
      <c r="L50" s="44"/>
      <c r="M50" s="44"/>
      <c r="N50" s="36"/>
      <c r="O50" s="36"/>
      <c r="P50" s="45"/>
      <c r="Q50" s="45"/>
      <c r="R50" s="44"/>
      <c r="S50" s="46" t="s">
        <v>33</v>
      </c>
      <c r="T50" s="30"/>
      <c r="U50" s="39">
        <f>SUM(R50:R50)</f>
        <v>0</v>
      </c>
    </row>
    <row r="51" spans="1:21" s="40" customFormat="1" ht="39.950000000000003" customHeight="1" thickBot="1" x14ac:dyDescent="0.35">
      <c r="A51" s="30">
        <f t="array" ref="A51">IF(B51&lt;&gt;"",COUNTIF($B$19:B51,"&lt;&gt;"),"")</f>
        <v>25</v>
      </c>
      <c r="B51" s="41">
        <v>317</v>
      </c>
      <c r="C51" s="42" t="s">
        <v>74</v>
      </c>
      <c r="D51" s="43" t="s">
        <v>106</v>
      </c>
      <c r="E51" s="42" t="s">
        <v>107</v>
      </c>
      <c r="F51" s="49" t="s">
        <v>48</v>
      </c>
      <c r="G51" s="36" t="s">
        <v>108</v>
      </c>
      <c r="H51" s="44"/>
      <c r="I51" s="44"/>
      <c r="J51" s="44"/>
      <c r="K51" s="44"/>
      <c r="L51" s="44"/>
      <c r="M51" s="44"/>
      <c r="N51" s="36"/>
      <c r="O51" s="36"/>
      <c r="P51" s="45"/>
      <c r="Q51" s="45"/>
      <c r="R51" s="44"/>
      <c r="S51" s="46" t="s">
        <v>37</v>
      </c>
      <c r="T51" s="30"/>
      <c r="U51" s="39">
        <f>SUM(R51:R51)</f>
        <v>0</v>
      </c>
    </row>
    <row r="52" spans="1:21" s="40" customFormat="1" ht="39.950000000000003" customHeight="1" thickBot="1" x14ac:dyDescent="0.35">
      <c r="A52" s="30">
        <f t="array" ref="A52">IF(B52&lt;&gt;"",COUNTIF($B$19:B52,"&lt;&gt;"),"")</f>
        <v>26</v>
      </c>
      <c r="B52" s="41">
        <v>317</v>
      </c>
      <c r="C52" s="42" t="s">
        <v>74</v>
      </c>
      <c r="D52" s="43" t="s">
        <v>109</v>
      </c>
      <c r="E52" s="42" t="s">
        <v>110</v>
      </c>
      <c r="F52" s="49" t="s">
        <v>48</v>
      </c>
      <c r="G52" s="36" t="s">
        <v>111</v>
      </c>
      <c r="H52" s="44"/>
      <c r="I52" s="44"/>
      <c r="J52" s="44"/>
      <c r="K52" s="44"/>
      <c r="L52" s="44"/>
      <c r="M52" s="44"/>
      <c r="N52" s="36"/>
      <c r="O52" s="36"/>
      <c r="P52" s="45"/>
      <c r="Q52" s="45"/>
      <c r="R52" s="44"/>
      <c r="S52" s="46" t="s">
        <v>37</v>
      </c>
      <c r="T52" s="30"/>
      <c r="U52" s="39">
        <f>SUM(R52:R52)</f>
        <v>0</v>
      </c>
    </row>
    <row r="53" spans="1:21" s="40" customFormat="1" ht="39.950000000000003" customHeight="1" thickBot="1" x14ac:dyDescent="0.35">
      <c r="A53" s="30">
        <f t="array" ref="A53">IF(B53&lt;&gt;"",COUNTIF($B$19:B53,"&lt;&gt;"),"")</f>
        <v>27</v>
      </c>
      <c r="B53" s="41">
        <v>317</v>
      </c>
      <c r="C53" s="42" t="s">
        <v>2310</v>
      </c>
      <c r="D53" s="43" t="s">
        <v>2311</v>
      </c>
      <c r="E53" s="42" t="s">
        <v>2312</v>
      </c>
      <c r="F53" s="49" t="s">
        <v>48</v>
      </c>
      <c r="G53" s="36"/>
      <c r="H53" s="44" t="s">
        <v>231</v>
      </c>
      <c r="I53" s="44" t="s">
        <v>231</v>
      </c>
      <c r="J53" s="44" t="s">
        <v>231</v>
      </c>
      <c r="K53" s="44"/>
      <c r="L53" s="44"/>
      <c r="M53" s="44"/>
      <c r="N53" s="36" t="s">
        <v>1743</v>
      </c>
      <c r="O53" s="36" t="s">
        <v>2313</v>
      </c>
      <c r="P53" s="45">
        <v>46149</v>
      </c>
      <c r="Q53" s="45">
        <v>46149</v>
      </c>
      <c r="R53" s="44">
        <v>1</v>
      </c>
      <c r="S53" s="46" t="s">
        <v>33</v>
      </c>
      <c r="T53" s="30" t="s">
        <v>234</v>
      </c>
      <c r="U53" s="221">
        <f>SUM(R53:R54)</f>
        <v>2</v>
      </c>
    </row>
    <row r="54" spans="1:21" s="40" customFormat="1" ht="39.950000000000003" customHeight="1" thickBot="1" x14ac:dyDescent="0.35">
      <c r="A54" s="30" t="str">
        <f t="array" ref="A54">IF(B54&lt;&gt;"",COUNTIF($B$19:B54,"&lt;&gt;"),"")</f>
        <v/>
      </c>
      <c r="B54" s="41"/>
      <c r="C54" s="42"/>
      <c r="D54" s="43"/>
      <c r="E54" s="42"/>
      <c r="F54" s="49"/>
      <c r="G54" s="36"/>
      <c r="H54" s="44" t="s">
        <v>231</v>
      </c>
      <c r="I54" s="44" t="s">
        <v>231</v>
      </c>
      <c r="J54" s="44" t="s">
        <v>231</v>
      </c>
      <c r="K54" s="44"/>
      <c r="L54" s="44"/>
      <c r="M54" s="44"/>
      <c r="N54" s="36" t="s">
        <v>1743</v>
      </c>
      <c r="O54" s="36" t="s">
        <v>1724</v>
      </c>
      <c r="P54" s="45">
        <v>46149</v>
      </c>
      <c r="Q54" s="45">
        <v>46149</v>
      </c>
      <c r="R54" s="44">
        <v>1</v>
      </c>
      <c r="S54" s="46" t="s">
        <v>33</v>
      </c>
      <c r="T54" s="30" t="s">
        <v>234</v>
      </c>
      <c r="U54" s="223"/>
    </row>
    <row r="55" spans="1:21" s="40" customFormat="1" ht="39.75" customHeight="1" thickBot="1" x14ac:dyDescent="0.35">
      <c r="A55" s="30">
        <f t="array" ref="A55">IF(B55&lt;&gt;"",COUNTIF($B$19:B55,"&lt;&gt;"),"")</f>
        <v>28</v>
      </c>
      <c r="B55" s="41">
        <v>317</v>
      </c>
      <c r="C55" s="42" t="s">
        <v>112</v>
      </c>
      <c r="D55" s="43" t="s">
        <v>113</v>
      </c>
      <c r="E55" s="42" t="s">
        <v>114</v>
      </c>
      <c r="F55" s="49" t="s">
        <v>48</v>
      </c>
      <c r="G55" s="36"/>
      <c r="H55" s="44"/>
      <c r="I55" s="44"/>
      <c r="J55" s="44"/>
      <c r="K55" s="44"/>
      <c r="L55" s="44"/>
      <c r="M55" s="44"/>
      <c r="N55" s="36"/>
      <c r="O55" s="36"/>
      <c r="P55" s="45"/>
      <c r="Q55" s="45"/>
      <c r="R55" s="44"/>
      <c r="S55" s="46" t="s">
        <v>37</v>
      </c>
      <c r="T55" s="30"/>
      <c r="U55" s="39">
        <f>SUM(R55:R55)</f>
        <v>0</v>
      </c>
    </row>
    <row r="56" spans="1:21" s="59" customFormat="1" ht="39.950000000000003" customHeight="1" thickBot="1" x14ac:dyDescent="0.35">
      <c r="A56" s="30" t="str">
        <f t="array" ref="A56">IF(B56&lt;&gt;"",COUNTIF($B$19:B56,"&lt;&gt;"),"")</f>
        <v/>
      </c>
      <c r="B56" s="50"/>
      <c r="C56" s="51"/>
      <c r="D56" s="52"/>
      <c r="E56" s="51"/>
      <c r="F56" s="53"/>
      <c r="G56" s="53"/>
      <c r="H56" s="54"/>
      <c r="I56" s="54"/>
      <c r="J56" s="54"/>
      <c r="K56" s="54"/>
      <c r="L56" s="54"/>
      <c r="M56" s="54"/>
      <c r="N56" s="55"/>
      <c r="O56" s="55"/>
      <c r="P56" s="56"/>
      <c r="Q56" s="56"/>
      <c r="R56" s="54"/>
      <c r="S56" s="54"/>
      <c r="T56" s="57"/>
      <c r="U56" s="58"/>
    </row>
    <row r="57" spans="1:21" s="40" customFormat="1" ht="39.950000000000003" customHeight="1" thickBot="1" x14ac:dyDescent="0.35">
      <c r="A57" s="30">
        <f t="array" ref="A57">IF(B57&lt;&gt;"",COUNTIF($B$19:B57,"&lt;&gt;"),"")</f>
        <v>29</v>
      </c>
      <c r="B57" s="41">
        <v>806</v>
      </c>
      <c r="C57" s="42" t="s">
        <v>115</v>
      </c>
      <c r="D57" s="43">
        <v>20520</v>
      </c>
      <c r="E57" s="42" t="s">
        <v>116</v>
      </c>
      <c r="F57" s="49" t="s">
        <v>117</v>
      </c>
      <c r="G57" s="36" t="s">
        <v>118</v>
      </c>
      <c r="H57" s="44"/>
      <c r="I57" s="44"/>
      <c r="J57" s="44"/>
      <c r="K57" s="44"/>
      <c r="L57" s="44"/>
      <c r="M57" s="44"/>
      <c r="N57" s="36"/>
      <c r="O57" s="36"/>
      <c r="P57" s="45"/>
      <c r="Q57" s="45"/>
      <c r="R57" s="44" t="s">
        <v>56</v>
      </c>
      <c r="S57" s="44" t="s">
        <v>37</v>
      </c>
      <c r="T57" s="30" t="str">
        <f>IFERROR(VLOOKUP(O57, '[1]CURSOS 2025'!A:B, 2, FALSE), "")</f>
        <v/>
      </c>
      <c r="U57" s="48">
        <f>SUM(' PLAN Y PROGRAMA ANUAL 2026'!$R57)</f>
        <v>0</v>
      </c>
    </row>
    <row r="58" spans="1:21" s="40" customFormat="1" ht="39.950000000000003" customHeight="1" thickBot="1" x14ac:dyDescent="0.35">
      <c r="A58" s="30">
        <f t="array" ref="A58">IF(B58&lt;&gt;"",COUNTIF($B$19:B58,"&lt;&gt;"),"")</f>
        <v>30</v>
      </c>
      <c r="B58" s="41">
        <v>806</v>
      </c>
      <c r="C58" s="42" t="s">
        <v>81</v>
      </c>
      <c r="D58" s="43">
        <v>206114</v>
      </c>
      <c r="E58" s="42" t="s">
        <v>119</v>
      </c>
      <c r="F58" s="49" t="s">
        <v>117</v>
      </c>
      <c r="G58" s="36" t="s">
        <v>120</v>
      </c>
      <c r="H58" s="44"/>
      <c r="I58" s="44"/>
      <c r="J58" s="44"/>
      <c r="K58" s="44" t="s">
        <v>231</v>
      </c>
      <c r="L58" s="44" t="s">
        <v>231</v>
      </c>
      <c r="M58" s="44" t="s">
        <v>231</v>
      </c>
      <c r="N58" s="36" t="s">
        <v>1537</v>
      </c>
      <c r="O58" s="36" t="s">
        <v>1713</v>
      </c>
      <c r="P58" s="45">
        <v>46069</v>
      </c>
      <c r="Q58" s="45">
        <v>46069</v>
      </c>
      <c r="R58" s="44">
        <v>2</v>
      </c>
      <c r="S58" s="46" t="s">
        <v>37</v>
      </c>
      <c r="T58" s="30" t="s">
        <v>234</v>
      </c>
      <c r="U58" s="221">
        <f>SUM(R58:R60)</f>
        <v>6</v>
      </c>
    </row>
    <row r="59" spans="1:21" s="40" customFormat="1" ht="39.950000000000003" customHeight="1" thickBot="1" x14ac:dyDescent="0.35">
      <c r="A59" s="30" t="str">
        <f t="array" ref="A59">IF(B59&lt;&gt;"",COUNTIF($B$19:B59,"&lt;&gt;"),"")</f>
        <v/>
      </c>
      <c r="B59" s="41"/>
      <c r="C59" s="42"/>
      <c r="D59" s="43"/>
      <c r="E59" s="42"/>
      <c r="F59" s="49"/>
      <c r="G59" s="36"/>
      <c r="H59" s="44"/>
      <c r="I59" s="44"/>
      <c r="J59" s="44"/>
      <c r="K59" s="44" t="s">
        <v>231</v>
      </c>
      <c r="L59" s="44" t="s">
        <v>231</v>
      </c>
      <c r="M59" s="44" t="s">
        <v>231</v>
      </c>
      <c r="N59" s="36" t="s">
        <v>1537</v>
      </c>
      <c r="O59" s="36" t="s">
        <v>1715</v>
      </c>
      <c r="P59" s="45">
        <v>46071</v>
      </c>
      <c r="Q59" s="45">
        <v>46071</v>
      </c>
      <c r="R59" s="44">
        <v>2</v>
      </c>
      <c r="S59" s="46" t="s">
        <v>37</v>
      </c>
      <c r="T59" s="30" t="s">
        <v>234</v>
      </c>
      <c r="U59" s="222"/>
    </row>
    <row r="60" spans="1:21" s="40" customFormat="1" ht="39.950000000000003" customHeight="1" thickBot="1" x14ac:dyDescent="0.35">
      <c r="A60" s="30" t="str">
        <f t="array" ref="A60">IF(B60&lt;&gt;"",COUNTIF($B$19:B60,"&lt;&gt;"),"")</f>
        <v/>
      </c>
      <c r="B60" s="41"/>
      <c r="C60" s="42"/>
      <c r="D60" s="43"/>
      <c r="E60" s="42"/>
      <c r="F60" s="49"/>
      <c r="G60" s="36"/>
      <c r="H60" s="44"/>
      <c r="I60" s="44"/>
      <c r="J60" s="44"/>
      <c r="K60" s="44" t="s">
        <v>231</v>
      </c>
      <c r="L60" s="44" t="s">
        <v>231</v>
      </c>
      <c r="M60" s="44" t="s">
        <v>231</v>
      </c>
      <c r="N60" s="36" t="s">
        <v>1537</v>
      </c>
      <c r="O60" s="36" t="s">
        <v>1716</v>
      </c>
      <c r="P60" s="45">
        <v>46071</v>
      </c>
      <c r="Q60" s="45">
        <v>46071</v>
      </c>
      <c r="R60" s="44">
        <v>2</v>
      </c>
      <c r="S60" s="46" t="s">
        <v>37</v>
      </c>
      <c r="T60" s="30" t="s">
        <v>234</v>
      </c>
      <c r="U60" s="223"/>
    </row>
    <row r="61" spans="1:21" s="40" customFormat="1" ht="39.950000000000003" customHeight="1" thickBot="1" x14ac:dyDescent="0.35">
      <c r="A61" s="30">
        <f t="array" ref="A61">IF(B61&lt;&gt;"",COUNTIF($B$19:B61,"&lt;&gt;"),"")</f>
        <v>31</v>
      </c>
      <c r="B61" s="41">
        <v>846</v>
      </c>
      <c r="C61" s="42" t="s">
        <v>38</v>
      </c>
      <c r="D61" s="43">
        <v>5551</v>
      </c>
      <c r="E61" s="42" t="s">
        <v>121</v>
      </c>
      <c r="F61" s="49" t="s">
        <v>117</v>
      </c>
      <c r="G61" s="36" t="s">
        <v>122</v>
      </c>
      <c r="H61" s="44"/>
      <c r="I61" s="44"/>
      <c r="J61" s="44"/>
      <c r="K61" s="44"/>
      <c r="L61" s="44"/>
      <c r="M61" s="44"/>
      <c r="N61" s="36"/>
      <c r="O61" s="36"/>
      <c r="P61" s="45"/>
      <c r="Q61" s="45"/>
      <c r="R61" s="44"/>
      <c r="S61" s="46" t="s">
        <v>37</v>
      </c>
      <c r="T61" s="30"/>
      <c r="U61" s="39">
        <f>SUM(R61:R61)</f>
        <v>0</v>
      </c>
    </row>
    <row r="62" spans="1:21" s="40" customFormat="1" ht="39.950000000000003" customHeight="1" thickBot="1" x14ac:dyDescent="0.35">
      <c r="A62" s="30">
        <f t="array" ref="A62">IF(B62&lt;&gt;"",COUNTIF($B$19:B62,"&lt;&gt;"),"")</f>
        <v>32</v>
      </c>
      <c r="B62" s="41">
        <v>328</v>
      </c>
      <c r="C62" s="42" t="s">
        <v>45</v>
      </c>
      <c r="D62" s="43">
        <v>5914</v>
      </c>
      <c r="E62" s="42" t="s">
        <v>123</v>
      </c>
      <c r="F62" s="49" t="s">
        <v>117</v>
      </c>
      <c r="G62" s="36" t="s">
        <v>124</v>
      </c>
      <c r="H62" s="44"/>
      <c r="I62" s="44"/>
      <c r="J62" s="44"/>
      <c r="K62" s="44"/>
      <c r="L62" s="44"/>
      <c r="M62" s="44"/>
      <c r="N62" s="36" t="s">
        <v>56</v>
      </c>
      <c r="O62" s="36"/>
      <c r="P62" s="45"/>
      <c r="Q62" s="47"/>
      <c r="R62" s="44"/>
      <c r="S62" s="44" t="s">
        <v>33</v>
      </c>
      <c r="T62" s="30"/>
      <c r="U62" s="48">
        <f t="shared" ref="U62" si="0">SUM(R62)</f>
        <v>0</v>
      </c>
    </row>
    <row r="63" spans="1:21" s="40" customFormat="1" ht="39.950000000000003" customHeight="1" thickBot="1" x14ac:dyDescent="0.35">
      <c r="A63" s="30">
        <f t="array" ref="A63">IF(B63&lt;&gt;"",COUNTIF($B$19:B63,"&lt;&gt;"),"")</f>
        <v>33</v>
      </c>
      <c r="B63" s="41">
        <v>806</v>
      </c>
      <c r="C63" s="42" t="s">
        <v>38</v>
      </c>
      <c r="D63" s="43">
        <v>205854</v>
      </c>
      <c r="E63" s="42" t="s">
        <v>125</v>
      </c>
      <c r="F63" s="49" t="s">
        <v>117</v>
      </c>
      <c r="G63" s="36" t="s">
        <v>126</v>
      </c>
      <c r="H63" s="44"/>
      <c r="I63" s="44"/>
      <c r="J63" s="44"/>
      <c r="K63" s="44"/>
      <c r="L63" s="44"/>
      <c r="M63" s="44"/>
      <c r="N63" s="36"/>
      <c r="O63" s="36"/>
      <c r="P63" s="45"/>
      <c r="Q63" s="45"/>
      <c r="R63" s="44"/>
      <c r="S63" s="46" t="s">
        <v>33</v>
      </c>
      <c r="T63" s="30"/>
      <c r="U63" s="39">
        <f>SUM(R63:R63)</f>
        <v>0</v>
      </c>
    </row>
    <row r="64" spans="1:21" s="40" customFormat="1" ht="39.950000000000003" customHeight="1" thickBot="1" x14ac:dyDescent="0.35">
      <c r="A64" s="30">
        <f t="array" ref="A64">IF(B64&lt;&gt;"",COUNTIF($B$19:B64,"&lt;&gt;"),"")</f>
        <v>34</v>
      </c>
      <c r="B64" s="41">
        <v>806</v>
      </c>
      <c r="C64" s="42" t="s">
        <v>38</v>
      </c>
      <c r="D64" s="43">
        <v>205879</v>
      </c>
      <c r="E64" s="42" t="s">
        <v>127</v>
      </c>
      <c r="F64" s="49" t="s">
        <v>117</v>
      </c>
      <c r="G64" s="36" t="s">
        <v>128</v>
      </c>
      <c r="H64" s="44"/>
      <c r="I64" s="44"/>
      <c r="J64" s="44"/>
      <c r="K64" s="44"/>
      <c r="L64" s="44"/>
      <c r="M64" s="44"/>
      <c r="N64" s="36"/>
      <c r="O64" s="36"/>
      <c r="P64" s="45"/>
      <c r="Q64" s="45"/>
      <c r="R64" s="44"/>
      <c r="S64" s="46" t="s">
        <v>33</v>
      </c>
      <c r="T64" s="30"/>
      <c r="U64" s="39">
        <f>SUM(R64:R64)</f>
        <v>0</v>
      </c>
    </row>
    <row r="65" spans="1:21" s="40" customFormat="1" ht="39.950000000000003" customHeight="1" thickBot="1" x14ac:dyDescent="0.35">
      <c r="A65" s="30">
        <f t="array" ref="A65">IF(B65&lt;&gt;"",COUNTIF($B$19:B65,"&lt;&gt;"),"")</f>
        <v>35</v>
      </c>
      <c r="B65" s="41">
        <v>806</v>
      </c>
      <c r="C65" s="42" t="s">
        <v>38</v>
      </c>
      <c r="D65" s="43">
        <v>5747</v>
      </c>
      <c r="E65" s="42" t="s">
        <v>123</v>
      </c>
      <c r="F65" s="49" t="s">
        <v>117</v>
      </c>
      <c r="G65" s="36" t="s">
        <v>129</v>
      </c>
      <c r="H65" s="44"/>
      <c r="I65" s="44"/>
      <c r="J65" s="44"/>
      <c r="K65" s="44"/>
      <c r="L65" s="44"/>
      <c r="M65" s="44"/>
      <c r="N65" s="36"/>
      <c r="O65" s="36"/>
      <c r="P65" s="45"/>
      <c r="Q65" s="47"/>
      <c r="R65" s="44"/>
      <c r="S65" s="46" t="s">
        <v>33</v>
      </c>
      <c r="T65" s="30" t="str">
        <f>IFERROR(VLOOKUP(O65, '[1]CURSOS 2025'!A:B, 2, FALSE), "")</f>
        <v/>
      </c>
      <c r="U65" s="39">
        <f>SUM(R65:R65)</f>
        <v>0</v>
      </c>
    </row>
    <row r="66" spans="1:21" s="40" customFormat="1" ht="39.950000000000003" customHeight="1" thickBot="1" x14ac:dyDescent="0.35">
      <c r="A66" s="30">
        <f t="array" ref="A66">IF(B66&lt;&gt;"",COUNTIF($B$19:B66,"&lt;&gt;"),"")</f>
        <v>36</v>
      </c>
      <c r="B66" s="41">
        <v>806</v>
      </c>
      <c r="C66" s="42" t="s">
        <v>45</v>
      </c>
      <c r="D66" s="43" t="s">
        <v>130</v>
      </c>
      <c r="E66" s="42" t="s">
        <v>131</v>
      </c>
      <c r="F66" s="49" t="s">
        <v>117</v>
      </c>
      <c r="G66" s="36" t="s">
        <v>132</v>
      </c>
      <c r="H66" s="44"/>
      <c r="I66" s="44"/>
      <c r="J66" s="44"/>
      <c r="K66" s="44"/>
      <c r="L66" s="44"/>
      <c r="M66" s="44"/>
      <c r="N66" s="36"/>
      <c r="O66" s="36"/>
      <c r="P66" s="45"/>
      <c r="Q66" s="45"/>
      <c r="R66" s="44"/>
      <c r="S66" s="44" t="s">
        <v>37</v>
      </c>
      <c r="T66" s="30"/>
      <c r="U66" s="48">
        <f t="shared" ref="U66:U67" si="1">SUM(R66)</f>
        <v>0</v>
      </c>
    </row>
    <row r="67" spans="1:21" s="40" customFormat="1" ht="39.950000000000003" customHeight="1" thickBot="1" x14ac:dyDescent="0.35">
      <c r="A67" s="30">
        <f t="array" ref="A67">IF(B67&lt;&gt;"",COUNTIF($B$19:B67,"&lt;&gt;"),"")</f>
        <v>37</v>
      </c>
      <c r="B67" s="41">
        <v>806</v>
      </c>
      <c r="C67" s="42" t="s">
        <v>38</v>
      </c>
      <c r="D67" s="43" t="s">
        <v>133</v>
      </c>
      <c r="E67" s="42" t="s">
        <v>134</v>
      </c>
      <c r="F67" s="49" t="s">
        <v>117</v>
      </c>
      <c r="G67" s="49" t="s">
        <v>129</v>
      </c>
      <c r="H67" s="44"/>
      <c r="I67" s="44"/>
      <c r="J67" s="44"/>
      <c r="K67" s="44"/>
      <c r="L67" s="44"/>
      <c r="M67" s="44"/>
      <c r="N67" s="36"/>
      <c r="O67" s="36"/>
      <c r="P67" s="45"/>
      <c r="Q67" s="45"/>
      <c r="R67" s="44"/>
      <c r="S67" s="44" t="s">
        <v>33</v>
      </c>
      <c r="T67" s="30"/>
      <c r="U67" s="48">
        <f t="shared" si="1"/>
        <v>0</v>
      </c>
    </row>
    <row r="68" spans="1:21" s="59" customFormat="1" ht="39.950000000000003" customHeight="1" thickBot="1" x14ac:dyDescent="0.35">
      <c r="A68" s="30" t="str">
        <f t="array" ref="A68">IF(B68&lt;&gt;"",COUNTIF($B$19:B68,"&lt;&gt;"),"")</f>
        <v/>
      </c>
      <c r="B68" s="50"/>
      <c r="C68" s="51"/>
      <c r="D68" s="52"/>
      <c r="E68" s="51"/>
      <c r="F68" s="53"/>
      <c r="G68" s="53"/>
      <c r="H68" s="54"/>
      <c r="I68" s="54"/>
      <c r="J68" s="54"/>
      <c r="K68" s="54"/>
      <c r="L68" s="54"/>
      <c r="M68" s="54"/>
      <c r="N68" s="55"/>
      <c r="O68" s="55"/>
      <c r="P68" s="56"/>
      <c r="Q68" s="56"/>
      <c r="R68" s="54"/>
      <c r="S68" s="54"/>
      <c r="T68" s="57"/>
      <c r="U68" s="64"/>
    </row>
    <row r="69" spans="1:21" s="40" customFormat="1" ht="39.950000000000003" customHeight="1" thickBot="1" x14ac:dyDescent="0.35">
      <c r="A69" s="30">
        <f t="array" ref="A69">IF(B69&lt;&gt;"",COUNTIF($B$19:B69,"&lt;&gt;"),"")</f>
        <v>38</v>
      </c>
      <c r="B69" s="41">
        <v>226</v>
      </c>
      <c r="C69" s="42" t="s">
        <v>135</v>
      </c>
      <c r="D69" s="43">
        <v>80183</v>
      </c>
      <c r="E69" s="42" t="s">
        <v>136</v>
      </c>
      <c r="F69" s="49" t="s">
        <v>137</v>
      </c>
      <c r="G69" s="36" t="s">
        <v>138</v>
      </c>
      <c r="H69" s="44"/>
      <c r="I69" s="44"/>
      <c r="J69" s="44"/>
      <c r="K69" s="44" t="s">
        <v>231</v>
      </c>
      <c r="L69" s="44" t="s">
        <v>231</v>
      </c>
      <c r="M69" s="44" t="s">
        <v>231</v>
      </c>
      <c r="N69" s="36" t="s">
        <v>1537</v>
      </c>
      <c r="O69" s="36" t="s">
        <v>1715</v>
      </c>
      <c r="P69" s="45">
        <v>46071</v>
      </c>
      <c r="Q69" s="45">
        <v>46071</v>
      </c>
      <c r="R69" s="44">
        <v>2</v>
      </c>
      <c r="S69" s="46" t="s">
        <v>33</v>
      </c>
      <c r="T69" s="30" t="s">
        <v>234</v>
      </c>
      <c r="U69" s="221">
        <f>SUM(R69:R70)</f>
        <v>42</v>
      </c>
    </row>
    <row r="70" spans="1:21" s="40" customFormat="1" ht="39.950000000000003" customHeight="1" thickBot="1" x14ac:dyDescent="0.35">
      <c r="A70" s="30"/>
      <c r="B70" s="41"/>
      <c r="C70" s="42"/>
      <c r="D70" s="43"/>
      <c r="E70" s="42"/>
      <c r="F70" s="49"/>
      <c r="G70" s="36"/>
      <c r="H70" s="44"/>
      <c r="I70" s="44"/>
      <c r="J70" s="44"/>
      <c r="K70" s="44" t="s">
        <v>231</v>
      </c>
      <c r="L70" s="44" t="s">
        <v>231</v>
      </c>
      <c r="M70" s="44" t="s">
        <v>231</v>
      </c>
      <c r="N70" s="36" t="s">
        <v>1537</v>
      </c>
      <c r="O70" s="36" t="s">
        <v>233</v>
      </c>
      <c r="P70" s="45">
        <v>46111</v>
      </c>
      <c r="Q70" s="45">
        <v>46111</v>
      </c>
      <c r="R70" s="44">
        <v>40</v>
      </c>
      <c r="S70" s="46" t="s">
        <v>33</v>
      </c>
      <c r="T70" s="30" t="s">
        <v>234</v>
      </c>
      <c r="U70" s="223"/>
    </row>
    <row r="71" spans="1:21" s="40" customFormat="1" ht="39.950000000000003" customHeight="1" thickBot="1" x14ac:dyDescent="0.35">
      <c r="A71" s="30">
        <f t="array" ref="A71">IF(B71&lt;&gt;"",COUNTIF($B$19:B71,"&lt;&gt;"),"")</f>
        <v>39</v>
      </c>
      <c r="B71" s="41">
        <v>226</v>
      </c>
      <c r="C71" s="42" t="s">
        <v>34</v>
      </c>
      <c r="D71" s="43">
        <v>205309</v>
      </c>
      <c r="E71" s="42" t="s">
        <v>139</v>
      </c>
      <c r="F71" s="49" t="s">
        <v>137</v>
      </c>
      <c r="G71" s="36" t="s">
        <v>140</v>
      </c>
      <c r="H71" s="44"/>
      <c r="I71" s="44"/>
      <c r="J71" s="44"/>
      <c r="K71" s="44"/>
      <c r="L71" s="44"/>
      <c r="M71" s="44"/>
      <c r="N71" s="36"/>
      <c r="O71" s="36"/>
      <c r="P71" s="45"/>
      <c r="Q71" s="45"/>
      <c r="R71" s="44"/>
      <c r="S71" s="46" t="s">
        <v>37</v>
      </c>
      <c r="T71" s="30"/>
      <c r="U71" s="39">
        <f>SUM(R71:R71)</f>
        <v>0</v>
      </c>
    </row>
    <row r="72" spans="1:21" s="59" customFormat="1" ht="39.950000000000003" customHeight="1" thickBot="1" x14ac:dyDescent="0.35">
      <c r="A72" s="30" t="str">
        <f t="array" ref="A72">IF(B72&lt;&gt;"",COUNTIF($B$19:B72,"&lt;&gt;"),"")</f>
        <v/>
      </c>
      <c r="B72" s="50"/>
      <c r="C72" s="51"/>
      <c r="D72" s="52"/>
      <c r="E72" s="51"/>
      <c r="F72" s="53"/>
      <c r="G72" s="53"/>
      <c r="H72" s="54"/>
      <c r="I72" s="54"/>
      <c r="J72" s="54"/>
      <c r="K72" s="54"/>
      <c r="L72" s="54"/>
      <c r="M72" s="54"/>
      <c r="N72" s="55"/>
      <c r="O72" s="55"/>
      <c r="P72" s="56"/>
      <c r="Q72" s="65"/>
      <c r="R72" s="54"/>
      <c r="S72" s="54"/>
      <c r="T72" s="57"/>
      <c r="U72" s="58"/>
    </row>
    <row r="73" spans="1:21" s="40" customFormat="1" ht="39.950000000000003" customHeight="1" thickBot="1" x14ac:dyDescent="0.35">
      <c r="A73" s="30">
        <f t="array" ref="A73">IF(B73&lt;&gt;"",COUNTIF($B$19:B73,"&lt;&gt;"),"")</f>
        <v>40</v>
      </c>
      <c r="B73" s="41">
        <v>234</v>
      </c>
      <c r="C73" s="42" t="s">
        <v>141</v>
      </c>
      <c r="D73" s="43">
        <v>1253</v>
      </c>
      <c r="E73" s="42" t="s">
        <v>142</v>
      </c>
      <c r="F73" s="49" t="s">
        <v>143</v>
      </c>
      <c r="G73" s="36" t="s">
        <v>144</v>
      </c>
      <c r="H73" s="44"/>
      <c r="I73" s="44"/>
      <c r="J73" s="44"/>
      <c r="K73" s="44"/>
      <c r="L73" s="44"/>
      <c r="M73" s="44"/>
      <c r="N73" s="36"/>
      <c r="O73" s="36"/>
      <c r="P73" s="45"/>
      <c r="Q73" s="45"/>
      <c r="R73" s="44"/>
      <c r="S73" s="46" t="s">
        <v>33</v>
      </c>
      <c r="T73" s="30"/>
      <c r="U73" s="39">
        <f>SUM(R73:R73)</f>
        <v>0</v>
      </c>
    </row>
    <row r="74" spans="1:21" s="40" customFormat="1" ht="39.950000000000003" customHeight="1" thickBot="1" x14ac:dyDescent="0.35">
      <c r="A74" s="30">
        <f t="array" ref="A74">IF(B74&lt;&gt;"",COUNTIF($B$19:B74,"&lt;&gt;"),"")</f>
        <v>41</v>
      </c>
      <c r="B74" s="41">
        <v>234</v>
      </c>
      <c r="C74" s="42" t="s">
        <v>45</v>
      </c>
      <c r="D74" s="43">
        <v>5884</v>
      </c>
      <c r="E74" s="42" t="s">
        <v>145</v>
      </c>
      <c r="F74" s="49" t="s">
        <v>143</v>
      </c>
      <c r="G74" s="36" t="s">
        <v>146</v>
      </c>
      <c r="H74" s="44"/>
      <c r="I74" s="44"/>
      <c r="J74" s="44"/>
      <c r="K74" s="44"/>
      <c r="L74" s="44"/>
      <c r="M74" s="44"/>
      <c r="N74" s="36"/>
      <c r="O74" s="36"/>
      <c r="P74" s="45"/>
      <c r="Q74" s="45"/>
      <c r="R74" s="44"/>
      <c r="S74" s="46" t="s">
        <v>37</v>
      </c>
      <c r="T74" s="30"/>
      <c r="U74" s="39">
        <f>SUM(R74:R74)</f>
        <v>0</v>
      </c>
    </row>
    <row r="75" spans="1:21" s="40" customFormat="1" ht="39.950000000000003" customHeight="1" thickBot="1" x14ac:dyDescent="0.35">
      <c r="A75" s="30">
        <f t="array" ref="A75">IF(B75&lt;&gt;"",COUNTIF($B$19:B75,"&lt;&gt;"),"")</f>
        <v>42</v>
      </c>
      <c r="B75" s="41">
        <v>234</v>
      </c>
      <c r="C75" s="42" t="s">
        <v>147</v>
      </c>
      <c r="D75" s="43">
        <v>3341</v>
      </c>
      <c r="E75" s="42" t="s">
        <v>148</v>
      </c>
      <c r="F75" s="49" t="s">
        <v>143</v>
      </c>
      <c r="G75" s="36" t="s">
        <v>149</v>
      </c>
      <c r="H75" s="44"/>
      <c r="I75" s="44"/>
      <c r="J75" s="44"/>
      <c r="K75" s="44"/>
      <c r="L75" s="44"/>
      <c r="M75" s="44"/>
      <c r="N75" s="36"/>
      <c r="O75" s="36"/>
      <c r="P75" s="45"/>
      <c r="Q75" s="45"/>
      <c r="R75" s="44"/>
      <c r="S75" s="44" t="s">
        <v>33</v>
      </c>
      <c r="T75" s="30"/>
      <c r="U75" s="48">
        <f t="shared" ref="U75" si="2">SUM(R75)</f>
        <v>0</v>
      </c>
    </row>
    <row r="76" spans="1:21" s="40" customFormat="1" ht="39.950000000000003" customHeight="1" thickBot="1" x14ac:dyDescent="0.35">
      <c r="A76" s="30">
        <f t="array" ref="A76">IF(B76&lt;&gt;"",COUNTIF($B$19:B76,"&lt;&gt;"),"")</f>
        <v>43</v>
      </c>
      <c r="B76" s="41">
        <v>234</v>
      </c>
      <c r="C76" s="42" t="s">
        <v>150</v>
      </c>
      <c r="D76" s="43">
        <v>3482</v>
      </c>
      <c r="E76" s="42" t="s">
        <v>151</v>
      </c>
      <c r="F76" s="49" t="s">
        <v>143</v>
      </c>
      <c r="G76" s="36" t="s">
        <v>152</v>
      </c>
      <c r="H76" s="44"/>
      <c r="I76" s="44"/>
      <c r="J76" s="44"/>
      <c r="K76" s="44"/>
      <c r="L76" s="44"/>
      <c r="M76" s="44"/>
      <c r="N76" s="36"/>
      <c r="O76" s="36"/>
      <c r="P76" s="45"/>
      <c r="Q76" s="45"/>
      <c r="R76" s="44"/>
      <c r="S76" s="46" t="s">
        <v>33</v>
      </c>
      <c r="T76" s="30"/>
      <c r="U76" s="39">
        <f>SUM(R76:R76)</f>
        <v>0</v>
      </c>
    </row>
    <row r="77" spans="1:21" s="40" customFormat="1" ht="39.950000000000003" customHeight="1" thickBot="1" x14ac:dyDescent="0.35">
      <c r="A77" s="30">
        <f t="array" ref="A77">IF(B77&lt;&gt;"",COUNTIF($B$19:B77,"&lt;&gt;"),"")</f>
        <v>44</v>
      </c>
      <c r="B77" s="41">
        <v>234</v>
      </c>
      <c r="C77" s="42" t="s">
        <v>153</v>
      </c>
      <c r="D77" s="43">
        <v>3513</v>
      </c>
      <c r="E77" s="42" t="s">
        <v>154</v>
      </c>
      <c r="F77" s="49" t="s">
        <v>143</v>
      </c>
      <c r="G77" s="36" t="s">
        <v>155</v>
      </c>
      <c r="H77" s="44"/>
      <c r="I77" s="44"/>
      <c r="J77" s="44"/>
      <c r="K77" s="44"/>
      <c r="L77" s="44"/>
      <c r="M77" s="44"/>
      <c r="N77" s="36"/>
      <c r="O77" s="36"/>
      <c r="P77" s="45"/>
      <c r="Q77" s="45"/>
      <c r="R77" s="44"/>
      <c r="S77" s="44" t="s">
        <v>33</v>
      </c>
      <c r="T77" s="30"/>
      <c r="U77" s="48">
        <f t="shared" ref="U77:U78" si="3">SUM(R77)</f>
        <v>0</v>
      </c>
    </row>
    <row r="78" spans="1:21" s="40" customFormat="1" ht="39.950000000000003" customHeight="1" thickBot="1" x14ac:dyDescent="0.35">
      <c r="A78" s="30">
        <f t="array" ref="A78">IF(B78&lt;&gt;"",COUNTIF($B$19:B78,"&lt;&gt;"),"")</f>
        <v>45</v>
      </c>
      <c r="B78" s="41">
        <v>234</v>
      </c>
      <c r="C78" s="42" t="s">
        <v>150</v>
      </c>
      <c r="D78" s="43">
        <v>3137</v>
      </c>
      <c r="E78" s="42" t="s">
        <v>156</v>
      </c>
      <c r="F78" s="49" t="s">
        <v>143</v>
      </c>
      <c r="G78" s="36" t="s">
        <v>157</v>
      </c>
      <c r="H78" s="44"/>
      <c r="I78" s="44"/>
      <c r="J78" s="44"/>
      <c r="K78" s="44"/>
      <c r="L78" s="44"/>
      <c r="M78" s="44"/>
      <c r="N78" s="36"/>
      <c r="O78" s="36"/>
      <c r="P78" s="45"/>
      <c r="Q78" s="45"/>
      <c r="R78" s="44"/>
      <c r="S78" s="44" t="s">
        <v>33</v>
      </c>
      <c r="T78" s="30"/>
      <c r="U78" s="48">
        <f t="shared" si="3"/>
        <v>0</v>
      </c>
    </row>
    <row r="79" spans="1:21" s="40" customFormat="1" ht="39.950000000000003" customHeight="1" thickBot="1" x14ac:dyDescent="0.35">
      <c r="A79" s="30">
        <f t="array" ref="A79">IF(B79&lt;&gt;"",COUNTIF($B$19:B79,"&lt;&gt;"),"")</f>
        <v>46</v>
      </c>
      <c r="B79" s="41">
        <v>234</v>
      </c>
      <c r="C79" s="42" t="s">
        <v>150</v>
      </c>
      <c r="D79" s="43">
        <v>3142</v>
      </c>
      <c r="E79" s="42" t="s">
        <v>158</v>
      </c>
      <c r="F79" s="49" t="s">
        <v>143</v>
      </c>
      <c r="G79" s="36" t="s">
        <v>159</v>
      </c>
      <c r="H79" s="44"/>
      <c r="I79" s="44"/>
      <c r="J79" s="44"/>
      <c r="K79" s="44"/>
      <c r="L79" s="44"/>
      <c r="M79" s="44"/>
      <c r="N79" s="36"/>
      <c r="O79" s="36"/>
      <c r="P79" s="45"/>
      <c r="Q79" s="45"/>
      <c r="R79" s="44"/>
      <c r="S79" s="46" t="s">
        <v>33</v>
      </c>
      <c r="T79" s="30"/>
      <c r="U79" s="39">
        <f t="shared" ref="U79:U84" si="4">SUM(R79:R79)</f>
        <v>0</v>
      </c>
    </row>
    <row r="80" spans="1:21" s="40" customFormat="1" ht="39.950000000000003" customHeight="1" thickBot="1" x14ac:dyDescent="0.35">
      <c r="A80" s="30">
        <f t="array" ref="A80">IF(B80&lt;&gt;"",COUNTIF($B$19:B80,"&lt;&gt;"),"")</f>
        <v>47</v>
      </c>
      <c r="B80" s="41">
        <v>234</v>
      </c>
      <c r="C80" s="42" t="s">
        <v>160</v>
      </c>
      <c r="D80" s="43">
        <v>3135</v>
      </c>
      <c r="E80" s="42" t="s">
        <v>161</v>
      </c>
      <c r="F80" s="49" t="s">
        <v>143</v>
      </c>
      <c r="G80" s="36" t="s">
        <v>162</v>
      </c>
      <c r="H80" s="44"/>
      <c r="I80" s="44"/>
      <c r="J80" s="44"/>
      <c r="K80" s="44"/>
      <c r="L80" s="44"/>
      <c r="M80" s="44"/>
      <c r="N80" s="36"/>
      <c r="O80" s="36"/>
      <c r="P80" s="45"/>
      <c r="Q80" s="45"/>
      <c r="R80" s="44"/>
      <c r="S80" s="46" t="s">
        <v>33</v>
      </c>
      <c r="T80" s="30" t="str">
        <f>IFERROR(VLOOKUP(O80, '[1]CURSOS 2025'!A:B, 2, FALSE), "")</f>
        <v/>
      </c>
      <c r="U80" s="39">
        <f t="shared" si="4"/>
        <v>0</v>
      </c>
    </row>
    <row r="81" spans="1:21" s="40" customFormat="1" ht="39.950000000000003" customHeight="1" thickBot="1" x14ac:dyDescent="0.35">
      <c r="A81" s="30">
        <f t="array" ref="A81">IF(B81&lt;&gt;"",COUNTIF($B$19:B81,"&lt;&gt;"),"")</f>
        <v>48</v>
      </c>
      <c r="B81" s="41">
        <v>234</v>
      </c>
      <c r="C81" s="42" t="s">
        <v>163</v>
      </c>
      <c r="D81" s="43">
        <v>3704</v>
      </c>
      <c r="E81" s="42" t="s">
        <v>164</v>
      </c>
      <c r="F81" s="49" t="s">
        <v>143</v>
      </c>
      <c r="G81" s="36" t="s">
        <v>165</v>
      </c>
      <c r="H81" s="44"/>
      <c r="I81" s="44"/>
      <c r="J81" s="44"/>
      <c r="K81" s="44"/>
      <c r="L81" s="44"/>
      <c r="M81" s="44"/>
      <c r="N81" s="36"/>
      <c r="O81" s="36"/>
      <c r="P81" s="45"/>
      <c r="Q81" s="45"/>
      <c r="R81" s="44"/>
      <c r="S81" s="46" t="s">
        <v>33</v>
      </c>
      <c r="T81" s="30" t="str">
        <f>IFERROR(VLOOKUP(O81, '[1]CURSOS 2025'!A:B, 2, FALSE), "")</f>
        <v/>
      </c>
      <c r="U81" s="39">
        <f t="shared" si="4"/>
        <v>0</v>
      </c>
    </row>
    <row r="82" spans="1:21" s="40" customFormat="1" ht="39.950000000000003" customHeight="1" thickBot="1" x14ac:dyDescent="0.35">
      <c r="A82" s="30">
        <f t="array" ref="A82">IF(B82&lt;&gt;"",COUNTIF($B$19:B82,"&lt;&gt;"),"")</f>
        <v>49</v>
      </c>
      <c r="B82" s="41">
        <v>234</v>
      </c>
      <c r="C82" s="42" t="s">
        <v>150</v>
      </c>
      <c r="D82" s="43">
        <v>3158</v>
      </c>
      <c r="E82" s="42" t="s">
        <v>166</v>
      </c>
      <c r="F82" s="49" t="s">
        <v>143</v>
      </c>
      <c r="G82" s="36" t="s">
        <v>167</v>
      </c>
      <c r="H82" s="44"/>
      <c r="I82" s="44"/>
      <c r="J82" s="44"/>
      <c r="K82" s="44"/>
      <c r="L82" s="44"/>
      <c r="M82" s="44"/>
      <c r="N82" s="36"/>
      <c r="O82" s="36"/>
      <c r="P82" s="45"/>
      <c r="Q82" s="45"/>
      <c r="R82" s="44"/>
      <c r="S82" s="46" t="s">
        <v>33</v>
      </c>
      <c r="T82" s="30" t="str">
        <f>IFERROR(VLOOKUP(O82, '[1]CURSOS 2025'!A:B, 2, FALSE), "")</f>
        <v/>
      </c>
      <c r="U82" s="39">
        <f t="shared" si="4"/>
        <v>0</v>
      </c>
    </row>
    <row r="83" spans="1:21" s="40" customFormat="1" ht="39.950000000000003" customHeight="1" thickBot="1" x14ac:dyDescent="0.35">
      <c r="A83" s="30">
        <f t="array" ref="A83">IF(B83&lt;&gt;"",COUNTIF($B$19:B83,"&lt;&gt;"),"")</f>
        <v>50</v>
      </c>
      <c r="B83" s="41">
        <v>234</v>
      </c>
      <c r="C83" s="42" t="s">
        <v>168</v>
      </c>
      <c r="D83" s="43">
        <v>3087</v>
      </c>
      <c r="E83" s="42" t="s">
        <v>169</v>
      </c>
      <c r="F83" s="49" t="s">
        <v>143</v>
      </c>
      <c r="G83" s="36" t="s">
        <v>170</v>
      </c>
      <c r="H83" s="44"/>
      <c r="I83" s="44"/>
      <c r="J83" s="44"/>
      <c r="K83" s="44"/>
      <c r="L83" s="44"/>
      <c r="M83" s="44"/>
      <c r="N83" s="36"/>
      <c r="O83" s="36"/>
      <c r="P83" s="45"/>
      <c r="Q83" s="45"/>
      <c r="R83" s="44"/>
      <c r="S83" s="46" t="s">
        <v>33</v>
      </c>
      <c r="T83" s="30" t="str">
        <f>IFERROR(VLOOKUP(O83, '[1]CURSOS 2025'!A:B, 2, FALSE), "")</f>
        <v/>
      </c>
      <c r="U83" s="39">
        <f t="shared" si="4"/>
        <v>0</v>
      </c>
    </row>
    <row r="84" spans="1:21" s="40" customFormat="1" ht="39.950000000000003" customHeight="1" thickBot="1" x14ac:dyDescent="0.35">
      <c r="A84" s="30">
        <f t="array" ref="A84">IF(B84&lt;&gt;"",COUNTIF($B$19:B84,"&lt;&gt;"),"")</f>
        <v>51</v>
      </c>
      <c r="B84" s="41">
        <v>234</v>
      </c>
      <c r="C84" s="42" t="s">
        <v>38</v>
      </c>
      <c r="D84" s="43" t="s">
        <v>171</v>
      </c>
      <c r="E84" s="42" t="s">
        <v>172</v>
      </c>
      <c r="F84" s="49" t="s">
        <v>143</v>
      </c>
      <c r="G84" s="36" t="s">
        <v>173</v>
      </c>
      <c r="H84" s="44"/>
      <c r="I84" s="44"/>
      <c r="J84" s="44"/>
      <c r="K84" s="44"/>
      <c r="L84" s="44"/>
      <c r="M84" s="44"/>
      <c r="N84" s="36"/>
      <c r="O84" s="36"/>
      <c r="P84" s="45"/>
      <c r="Q84" s="45"/>
      <c r="R84" s="44"/>
      <c r="S84" s="46" t="s">
        <v>33</v>
      </c>
      <c r="T84" s="30" t="str">
        <f>IFERROR(VLOOKUP(O84, '[1]CURSOS 2025'!A:B, 2, FALSE), "")</f>
        <v/>
      </c>
      <c r="U84" s="39">
        <f t="shared" si="4"/>
        <v>0</v>
      </c>
    </row>
    <row r="85" spans="1:21" s="59" customFormat="1" ht="39.950000000000003" customHeight="1" thickBot="1" x14ac:dyDescent="0.35">
      <c r="A85" s="30" t="str">
        <f t="array" ref="A85">IF(B85&lt;&gt;"",COUNTIF($B$19:B85,"&lt;&gt;"),"")</f>
        <v/>
      </c>
      <c r="B85" s="50"/>
      <c r="C85" s="51"/>
      <c r="D85" s="52"/>
      <c r="E85" s="51"/>
      <c r="F85" s="53"/>
      <c r="G85" s="53"/>
      <c r="H85" s="54"/>
      <c r="I85" s="54"/>
      <c r="J85" s="54"/>
      <c r="K85" s="54"/>
      <c r="L85" s="54"/>
      <c r="M85" s="54"/>
      <c r="N85" s="55"/>
      <c r="O85" s="55"/>
      <c r="P85" s="56"/>
      <c r="Q85" s="56"/>
      <c r="R85" s="54"/>
      <c r="S85" s="54"/>
      <c r="T85" s="57"/>
      <c r="U85" s="58"/>
    </row>
    <row r="86" spans="1:21" s="40" customFormat="1" ht="39.950000000000003" customHeight="1" thickBot="1" x14ac:dyDescent="0.35">
      <c r="A86" s="30">
        <f t="array" ref="A86">IF(B86&lt;&gt;"",COUNTIF($B$19:B86,"&lt;&gt;"),"")</f>
        <v>52</v>
      </c>
      <c r="B86" s="41">
        <v>615</v>
      </c>
      <c r="C86" s="42" t="s">
        <v>42</v>
      </c>
      <c r="D86" s="43">
        <v>206245</v>
      </c>
      <c r="E86" s="42" t="s">
        <v>174</v>
      </c>
      <c r="F86" s="49" t="s">
        <v>175</v>
      </c>
      <c r="G86" s="36" t="s">
        <v>176</v>
      </c>
      <c r="H86" s="44"/>
      <c r="I86" s="44"/>
      <c r="J86" s="44"/>
      <c r="K86" s="44" t="s">
        <v>231</v>
      </c>
      <c r="L86" s="44" t="s">
        <v>231</v>
      </c>
      <c r="M86" s="44" t="s">
        <v>231</v>
      </c>
      <c r="N86" s="36" t="s">
        <v>1537</v>
      </c>
      <c r="O86" s="36" t="s">
        <v>1715</v>
      </c>
      <c r="P86" s="45">
        <v>46071</v>
      </c>
      <c r="Q86" s="45">
        <v>46071</v>
      </c>
      <c r="R86" s="44">
        <v>2</v>
      </c>
      <c r="S86" s="44" t="s">
        <v>37</v>
      </c>
      <c r="T86" s="30" t="s">
        <v>234</v>
      </c>
      <c r="U86" s="48">
        <f t="shared" ref="U86" si="5">SUM(R86)</f>
        <v>2</v>
      </c>
    </row>
    <row r="87" spans="1:21" s="40" customFormat="1" ht="39.950000000000003" customHeight="1" thickBot="1" x14ac:dyDescent="0.35">
      <c r="A87" s="30">
        <f t="array" ref="A87">IF(B87&lt;&gt;"",COUNTIF($B$19:B87,"&lt;&gt;"),"")</f>
        <v>53</v>
      </c>
      <c r="B87" s="41">
        <v>615</v>
      </c>
      <c r="C87" s="42" t="s">
        <v>177</v>
      </c>
      <c r="D87" s="43">
        <v>206214</v>
      </c>
      <c r="E87" s="42" t="s">
        <v>178</v>
      </c>
      <c r="F87" s="49" t="s">
        <v>175</v>
      </c>
      <c r="G87" s="36" t="s">
        <v>179</v>
      </c>
      <c r="H87" s="44"/>
      <c r="I87" s="44"/>
      <c r="J87" s="44"/>
      <c r="K87" s="44"/>
      <c r="L87" s="44"/>
      <c r="M87" s="44"/>
      <c r="N87" s="36"/>
      <c r="O87" s="36"/>
      <c r="P87" s="45"/>
      <c r="Q87" s="45"/>
      <c r="R87" s="44"/>
      <c r="S87" s="46" t="s">
        <v>37</v>
      </c>
      <c r="T87" s="30" t="str">
        <f>IFERROR(VLOOKUP(O87, '[1]CURSOS 2025'!A:B, 2, FALSE), "")</f>
        <v/>
      </c>
      <c r="U87" s="39">
        <f>SUM(R87:R87)</f>
        <v>0</v>
      </c>
    </row>
    <row r="88" spans="1:21" s="59" customFormat="1" ht="39.75" customHeight="1" thickBot="1" x14ac:dyDescent="0.35">
      <c r="A88" s="30" t="str">
        <f t="array" ref="A88">IF(B88&lt;&gt;"",COUNTIF($B$19:B88,"&lt;&gt;"),"")</f>
        <v/>
      </c>
      <c r="B88" s="50"/>
      <c r="C88" s="51"/>
      <c r="D88" s="52"/>
      <c r="E88" s="51"/>
      <c r="F88" s="53"/>
      <c r="G88" s="53"/>
      <c r="H88" s="54"/>
      <c r="I88" s="54"/>
      <c r="J88" s="54"/>
      <c r="K88" s="54"/>
      <c r="L88" s="54"/>
      <c r="M88" s="54"/>
      <c r="N88" s="55"/>
      <c r="O88" s="55"/>
      <c r="P88" s="56"/>
      <c r="Q88" s="56"/>
      <c r="R88" s="54"/>
      <c r="S88" s="54"/>
      <c r="T88" s="57"/>
      <c r="U88" s="64"/>
    </row>
    <row r="89" spans="1:21" s="40" customFormat="1" ht="39.950000000000003" customHeight="1" thickBot="1" x14ac:dyDescent="0.35">
      <c r="A89" s="30">
        <f t="array" ref="A89">IF(B89&lt;&gt;"",COUNTIF($B$19:B89,"&lt;&gt;"),"")</f>
        <v>54</v>
      </c>
      <c r="B89" s="41">
        <v>325</v>
      </c>
      <c r="C89" s="42" t="s">
        <v>34</v>
      </c>
      <c r="D89" s="43">
        <v>206086</v>
      </c>
      <c r="E89" s="42" t="s">
        <v>180</v>
      </c>
      <c r="F89" s="49" t="s">
        <v>181</v>
      </c>
      <c r="G89" s="36" t="s">
        <v>182</v>
      </c>
      <c r="H89" s="44"/>
      <c r="I89" s="44"/>
      <c r="J89" s="44"/>
      <c r="K89" s="44" t="s">
        <v>231</v>
      </c>
      <c r="L89" s="44" t="s">
        <v>231</v>
      </c>
      <c r="M89" s="44" t="s">
        <v>231</v>
      </c>
      <c r="N89" s="36" t="s">
        <v>1537</v>
      </c>
      <c r="O89" s="36" t="s">
        <v>1713</v>
      </c>
      <c r="P89" s="45">
        <v>46069</v>
      </c>
      <c r="Q89" s="45">
        <v>46069</v>
      </c>
      <c r="R89" s="44">
        <v>2</v>
      </c>
      <c r="S89" s="46" t="s">
        <v>37</v>
      </c>
      <c r="T89" s="30" t="s">
        <v>234</v>
      </c>
      <c r="U89" s="221">
        <f>SUM(R89:R91)</f>
        <v>6</v>
      </c>
    </row>
    <row r="90" spans="1:21" s="40" customFormat="1" ht="39.950000000000003" customHeight="1" thickBot="1" x14ac:dyDescent="0.35">
      <c r="A90" s="30" t="str">
        <f t="array" ref="A90">IF(B90&lt;&gt;"",COUNTIF($B$19:B90,"&lt;&gt;"),"")</f>
        <v/>
      </c>
      <c r="B90" s="41"/>
      <c r="C90" s="42"/>
      <c r="D90" s="43"/>
      <c r="E90" s="42"/>
      <c r="F90" s="49"/>
      <c r="G90" s="36"/>
      <c r="H90" s="44"/>
      <c r="I90" s="44"/>
      <c r="J90" s="44"/>
      <c r="K90" s="44" t="s">
        <v>231</v>
      </c>
      <c r="L90" s="44" t="s">
        <v>231</v>
      </c>
      <c r="M90" s="44" t="s">
        <v>231</v>
      </c>
      <c r="N90" s="36" t="s">
        <v>1537</v>
      </c>
      <c r="O90" s="36" t="s">
        <v>1715</v>
      </c>
      <c r="P90" s="45">
        <v>46071</v>
      </c>
      <c r="Q90" s="45">
        <v>46071</v>
      </c>
      <c r="R90" s="44">
        <v>2</v>
      </c>
      <c r="S90" s="46" t="s">
        <v>37</v>
      </c>
      <c r="T90" s="30" t="s">
        <v>234</v>
      </c>
      <c r="U90" s="222"/>
    </row>
    <row r="91" spans="1:21" s="40" customFormat="1" ht="39.950000000000003" customHeight="1" thickBot="1" x14ac:dyDescent="0.35">
      <c r="A91" s="30" t="str">
        <f t="array" ref="A91">IF(B91&lt;&gt;"",COUNTIF($B$19:B91,"&lt;&gt;"),"")</f>
        <v/>
      </c>
      <c r="B91" s="41"/>
      <c r="C91" s="42"/>
      <c r="D91" s="43"/>
      <c r="E91" s="42"/>
      <c r="F91" s="49"/>
      <c r="G91" s="36"/>
      <c r="H91" s="44"/>
      <c r="I91" s="44"/>
      <c r="J91" s="44"/>
      <c r="K91" s="44" t="s">
        <v>231</v>
      </c>
      <c r="L91" s="44" t="s">
        <v>231</v>
      </c>
      <c r="M91" s="44" t="s">
        <v>231</v>
      </c>
      <c r="N91" s="36" t="s">
        <v>1537</v>
      </c>
      <c r="O91" s="36" t="s">
        <v>1716</v>
      </c>
      <c r="P91" s="45">
        <v>46071</v>
      </c>
      <c r="Q91" s="45">
        <v>46071</v>
      </c>
      <c r="R91" s="44">
        <v>2</v>
      </c>
      <c r="S91" s="46" t="s">
        <v>37</v>
      </c>
      <c r="T91" s="30" t="s">
        <v>234</v>
      </c>
      <c r="U91" s="223"/>
    </row>
    <row r="92" spans="1:21" s="40" customFormat="1" ht="39.75" customHeight="1" thickBot="1" x14ac:dyDescent="0.35">
      <c r="A92" s="30">
        <f t="array" ref="A92">IF(B92&lt;&gt;"",COUNTIF($B$19:B92,"&lt;&gt;"),"")</f>
        <v>55</v>
      </c>
      <c r="B92" s="41">
        <v>325</v>
      </c>
      <c r="C92" s="42" t="s">
        <v>38</v>
      </c>
      <c r="D92" s="43" t="s">
        <v>183</v>
      </c>
      <c r="E92" s="42" t="s">
        <v>184</v>
      </c>
      <c r="F92" s="49" t="s">
        <v>181</v>
      </c>
      <c r="G92" s="36" t="s">
        <v>185</v>
      </c>
      <c r="H92" s="44"/>
      <c r="I92" s="44"/>
      <c r="J92" s="44"/>
      <c r="K92" s="44"/>
      <c r="L92" s="44"/>
      <c r="M92" s="44"/>
      <c r="N92" s="36"/>
      <c r="O92" s="36"/>
      <c r="P92" s="45"/>
      <c r="Q92" s="45"/>
      <c r="R92" s="44"/>
      <c r="S92" s="44" t="s">
        <v>37</v>
      </c>
      <c r="T92" s="30" t="str">
        <f>IFERROR(VLOOKUP(O92, '[1]CURSOS 2025'!A:B, 2, FALSE), "")</f>
        <v/>
      </c>
      <c r="U92" s="48">
        <f>SUM(R92)</f>
        <v>0</v>
      </c>
    </row>
    <row r="93" spans="1:21" s="59" customFormat="1" ht="39.950000000000003" customHeight="1" thickBot="1" x14ac:dyDescent="0.35">
      <c r="A93" s="30" t="str">
        <f t="array" ref="A93">IF(B93&lt;&gt;"",COUNTIF($B$19:B93,"&lt;&gt;"),"")</f>
        <v/>
      </c>
      <c r="B93" s="50"/>
      <c r="C93" s="51"/>
      <c r="D93" s="52"/>
      <c r="E93" s="51"/>
      <c r="F93" s="53"/>
      <c r="G93" s="53"/>
      <c r="H93" s="54"/>
      <c r="I93" s="54"/>
      <c r="J93" s="54"/>
      <c r="K93" s="54"/>
      <c r="L93" s="54"/>
      <c r="M93" s="54"/>
      <c r="N93" s="55"/>
      <c r="O93" s="55"/>
      <c r="P93" s="56"/>
      <c r="Q93" s="56"/>
      <c r="R93" s="54"/>
      <c r="S93" s="54"/>
      <c r="T93" s="57"/>
      <c r="U93" s="58"/>
    </row>
    <row r="94" spans="1:21" s="40" customFormat="1" ht="39.950000000000003" customHeight="1" thickBot="1" x14ac:dyDescent="0.35">
      <c r="A94" s="30">
        <f t="array" ref="A94">IF(B94&lt;&gt;"",COUNTIF($B$19:B94,"&lt;&gt;"),"")</f>
        <v>56</v>
      </c>
      <c r="B94" s="41">
        <v>615</v>
      </c>
      <c r="C94" s="42" t="s">
        <v>141</v>
      </c>
      <c r="D94" s="43">
        <v>205895</v>
      </c>
      <c r="E94" s="42" t="s">
        <v>186</v>
      </c>
      <c r="F94" s="49" t="s">
        <v>175</v>
      </c>
      <c r="G94" s="36" t="s">
        <v>187</v>
      </c>
      <c r="H94" s="44"/>
      <c r="I94" s="44"/>
      <c r="J94" s="44"/>
      <c r="K94" s="44"/>
      <c r="L94" s="44"/>
      <c r="M94" s="44"/>
      <c r="N94" s="36"/>
      <c r="O94" s="36"/>
      <c r="P94" s="45"/>
      <c r="Q94" s="45"/>
      <c r="R94" s="44"/>
      <c r="S94" s="44" t="s">
        <v>37</v>
      </c>
      <c r="T94" s="30" t="str">
        <f>IFERROR(VLOOKUP(O94, '[1]CURSOS 2025'!A:B, 2, FALSE), "")</f>
        <v/>
      </c>
      <c r="U94" s="48">
        <f t="shared" ref="U94:U96" si="6">SUM(R94)</f>
        <v>0</v>
      </c>
    </row>
    <row r="95" spans="1:21" s="40" customFormat="1" ht="39.950000000000003" customHeight="1" thickBot="1" x14ac:dyDescent="0.35">
      <c r="A95" s="30">
        <f t="array" ref="A95">IF(B95&lt;&gt;"",COUNTIF($B$19:B95,"&lt;&gt;"),"")</f>
        <v>57</v>
      </c>
      <c r="B95" s="41">
        <v>615</v>
      </c>
      <c r="C95" s="42" t="s">
        <v>38</v>
      </c>
      <c r="D95" s="43">
        <v>205502</v>
      </c>
      <c r="E95" s="42" t="s">
        <v>188</v>
      </c>
      <c r="F95" s="49" t="s">
        <v>175</v>
      </c>
      <c r="G95" s="36" t="s">
        <v>189</v>
      </c>
      <c r="H95" s="44"/>
      <c r="I95" s="44"/>
      <c r="J95" s="44"/>
      <c r="K95" s="44"/>
      <c r="L95" s="44"/>
      <c r="M95" s="44"/>
      <c r="N95" s="36"/>
      <c r="O95" s="36"/>
      <c r="P95" s="45"/>
      <c r="Q95" s="45"/>
      <c r="R95" s="44"/>
      <c r="S95" s="44" t="s">
        <v>33</v>
      </c>
      <c r="T95" s="30" t="str">
        <f>IFERROR(VLOOKUP(O95, '[1]CURSOS 2025'!A:B, 2, FALSE), "")</f>
        <v/>
      </c>
      <c r="U95" s="48">
        <f t="shared" si="6"/>
        <v>0</v>
      </c>
    </row>
    <row r="96" spans="1:21" s="40" customFormat="1" ht="39.950000000000003" customHeight="1" thickBot="1" x14ac:dyDescent="0.35">
      <c r="A96" s="30">
        <f t="array" ref="A96">IF(B96&lt;&gt;"",COUNTIF($B$19:B96,"&lt;&gt;"),"")</f>
        <v>58</v>
      </c>
      <c r="B96" s="41">
        <v>615</v>
      </c>
      <c r="C96" s="42" t="s">
        <v>190</v>
      </c>
      <c r="D96" s="43">
        <v>20871</v>
      </c>
      <c r="E96" s="42" t="s">
        <v>191</v>
      </c>
      <c r="F96" s="49" t="s">
        <v>175</v>
      </c>
      <c r="G96" s="36" t="s">
        <v>192</v>
      </c>
      <c r="H96" s="44"/>
      <c r="I96" s="44"/>
      <c r="J96" s="44"/>
      <c r="K96" s="44"/>
      <c r="L96" s="44"/>
      <c r="M96" s="44"/>
      <c r="N96" s="36"/>
      <c r="O96" s="36"/>
      <c r="P96" s="45"/>
      <c r="Q96" s="45"/>
      <c r="R96" s="44"/>
      <c r="S96" s="44" t="s">
        <v>33</v>
      </c>
      <c r="T96" s="30" t="str">
        <f>IFERROR(VLOOKUP(O96, '[1]CURSOS 2025'!A:B, 2, FALSE), "")</f>
        <v/>
      </c>
      <c r="U96" s="48">
        <f t="shared" si="6"/>
        <v>0</v>
      </c>
    </row>
    <row r="97" spans="1:21" s="40" customFormat="1" ht="39.950000000000003" customHeight="1" thickBot="1" x14ac:dyDescent="0.35">
      <c r="A97" s="30">
        <f t="array" ref="A97">IF(B97&lt;&gt;"",COUNTIF($B$19:B97,"&lt;&gt;"),"")</f>
        <v>59</v>
      </c>
      <c r="B97" s="41">
        <v>615</v>
      </c>
      <c r="C97" s="42" t="s">
        <v>45</v>
      </c>
      <c r="D97" s="43">
        <v>5811</v>
      </c>
      <c r="E97" s="42" t="s">
        <v>193</v>
      </c>
      <c r="F97" s="49" t="s">
        <v>175</v>
      </c>
      <c r="G97" s="36" t="s">
        <v>194</v>
      </c>
      <c r="H97" s="44"/>
      <c r="I97" s="44"/>
      <c r="J97" s="44"/>
      <c r="K97" s="44"/>
      <c r="L97" s="44"/>
      <c r="M97" s="44"/>
      <c r="N97" s="36"/>
      <c r="O97" s="36"/>
      <c r="P97" s="45"/>
      <c r="Q97" s="45"/>
      <c r="R97" s="44"/>
      <c r="S97" s="46" t="s">
        <v>37</v>
      </c>
      <c r="T97" s="30" t="str">
        <f>IFERROR(VLOOKUP(O97, '[1]CURSOS 2025'!A:B, 2, FALSE), "")</f>
        <v/>
      </c>
      <c r="U97" s="39">
        <f>SUM(R97:R97)</f>
        <v>0</v>
      </c>
    </row>
    <row r="98" spans="1:21" s="40" customFormat="1" ht="39.950000000000003" customHeight="1" thickBot="1" x14ac:dyDescent="0.35">
      <c r="A98" s="30">
        <f t="array" ref="A98">IF(B98&lt;&gt;"",COUNTIF($B$19:B98,"&lt;&gt;"),"")</f>
        <v>60</v>
      </c>
      <c r="B98" s="41">
        <v>615</v>
      </c>
      <c r="C98" s="42" t="s">
        <v>45</v>
      </c>
      <c r="D98" s="43">
        <v>5875</v>
      </c>
      <c r="E98" s="42" t="s">
        <v>195</v>
      </c>
      <c r="F98" s="49" t="s">
        <v>175</v>
      </c>
      <c r="G98" s="36" t="s">
        <v>196</v>
      </c>
      <c r="H98" s="44"/>
      <c r="I98" s="44"/>
      <c r="J98" s="44"/>
      <c r="K98" s="44"/>
      <c r="L98" s="44"/>
      <c r="M98" s="44"/>
      <c r="N98" s="36"/>
      <c r="O98" s="36"/>
      <c r="P98" s="45"/>
      <c r="Q98" s="45"/>
      <c r="R98" s="44"/>
      <c r="S98" s="46" t="s">
        <v>33</v>
      </c>
      <c r="T98" s="30" t="str">
        <f>IFERROR(VLOOKUP(O98, '[1]CURSOS 2025'!A:B, 2, FALSE), "")</f>
        <v/>
      </c>
      <c r="U98" s="39">
        <f>SUM(R98:R98)</f>
        <v>0</v>
      </c>
    </row>
    <row r="99" spans="1:21" s="40" customFormat="1" ht="39.950000000000003" customHeight="1" thickBot="1" x14ac:dyDescent="0.35">
      <c r="A99" s="30">
        <f t="array" ref="A99">IF(B99&lt;&gt;"",COUNTIF($B$19:B99,"&lt;&gt;"),"")</f>
        <v>61</v>
      </c>
      <c r="B99" s="41">
        <v>615</v>
      </c>
      <c r="C99" s="42" t="s">
        <v>45</v>
      </c>
      <c r="D99" s="43">
        <v>5788</v>
      </c>
      <c r="E99" s="42" t="s">
        <v>197</v>
      </c>
      <c r="F99" s="49" t="s">
        <v>175</v>
      </c>
      <c r="G99" s="36" t="s">
        <v>198</v>
      </c>
      <c r="H99" s="44"/>
      <c r="I99" s="44"/>
      <c r="J99" s="44"/>
      <c r="K99" s="44"/>
      <c r="L99" s="44"/>
      <c r="M99" s="44"/>
      <c r="N99" s="36"/>
      <c r="O99" s="36"/>
      <c r="P99" s="45"/>
      <c r="Q99" s="45"/>
      <c r="R99" s="44"/>
      <c r="S99" s="44" t="s">
        <v>37</v>
      </c>
      <c r="T99" s="30" t="str">
        <f>IFERROR(VLOOKUP(O99, '[1]CURSOS 2025'!A:B, 2, FALSE), "")</f>
        <v/>
      </c>
      <c r="U99" s="48">
        <f t="shared" ref="U99:U106" si="7">SUM(R99)</f>
        <v>0</v>
      </c>
    </row>
    <row r="100" spans="1:21" s="40" customFormat="1" ht="39.950000000000003" customHeight="1" thickBot="1" x14ac:dyDescent="0.35">
      <c r="A100" s="30">
        <f t="array" ref="A100">IF(B100&lt;&gt;"",COUNTIF($B$19:B100,"&lt;&gt;"),"")</f>
        <v>62</v>
      </c>
      <c r="B100" s="41">
        <v>615</v>
      </c>
      <c r="C100" s="42" t="s">
        <v>199</v>
      </c>
      <c r="D100" s="43">
        <v>205974</v>
      </c>
      <c r="E100" s="42" t="s">
        <v>200</v>
      </c>
      <c r="F100" s="49" t="s">
        <v>175</v>
      </c>
      <c r="G100" s="36" t="s">
        <v>201</v>
      </c>
      <c r="H100" s="44"/>
      <c r="I100" s="44"/>
      <c r="J100" s="44"/>
      <c r="K100" s="44"/>
      <c r="L100" s="44"/>
      <c r="M100" s="44"/>
      <c r="N100" s="36"/>
      <c r="O100" s="36"/>
      <c r="P100" s="45"/>
      <c r="Q100" s="45"/>
      <c r="R100" s="44"/>
      <c r="S100" s="44" t="s">
        <v>33</v>
      </c>
      <c r="T100" s="30" t="str">
        <f>IFERROR(VLOOKUP(O100, '[1]CURSOS 2025'!A:B, 2, FALSE), "")</f>
        <v/>
      </c>
      <c r="U100" s="48">
        <f t="shared" si="7"/>
        <v>0</v>
      </c>
    </row>
    <row r="101" spans="1:21" s="40" customFormat="1" ht="39.950000000000003" customHeight="1" thickBot="1" x14ac:dyDescent="0.35">
      <c r="A101" s="30">
        <f t="array" ref="A101">IF(B101&lt;&gt;"",COUNTIF($B$19:B101,"&lt;&gt;"),"")</f>
        <v>63</v>
      </c>
      <c r="B101" s="41">
        <v>615</v>
      </c>
      <c r="C101" s="42" t="s">
        <v>199</v>
      </c>
      <c r="D101" s="43">
        <v>205948</v>
      </c>
      <c r="E101" s="42" t="s">
        <v>202</v>
      </c>
      <c r="F101" s="49" t="s">
        <v>175</v>
      </c>
      <c r="G101" s="36" t="s">
        <v>203</v>
      </c>
      <c r="H101" s="44"/>
      <c r="I101" s="44"/>
      <c r="J101" s="44"/>
      <c r="K101" s="44"/>
      <c r="L101" s="44"/>
      <c r="M101" s="44"/>
      <c r="N101" s="36"/>
      <c r="O101" s="36"/>
      <c r="P101" s="45"/>
      <c r="Q101" s="45"/>
      <c r="R101" s="44"/>
      <c r="S101" s="44" t="s">
        <v>37</v>
      </c>
      <c r="T101" s="30" t="str">
        <f>IFERROR(VLOOKUP(O101, '[1]CURSOS 2025'!A:B, 2, FALSE), "")</f>
        <v/>
      </c>
      <c r="U101" s="48">
        <f t="shared" si="7"/>
        <v>0</v>
      </c>
    </row>
    <row r="102" spans="1:21" s="40" customFormat="1" ht="39.950000000000003" customHeight="1" thickBot="1" x14ac:dyDescent="0.35">
      <c r="A102" s="30">
        <f t="array" ref="A102">IF(B102&lt;&gt;"",COUNTIF($B$19:B102,"&lt;&gt;"),"")</f>
        <v>64</v>
      </c>
      <c r="B102" s="41">
        <v>615</v>
      </c>
      <c r="C102" s="42" t="s">
        <v>199</v>
      </c>
      <c r="D102" s="43">
        <v>205816</v>
      </c>
      <c r="E102" s="42" t="s">
        <v>204</v>
      </c>
      <c r="F102" s="49" t="s">
        <v>175</v>
      </c>
      <c r="G102" s="36" t="s">
        <v>205</v>
      </c>
      <c r="H102" s="44"/>
      <c r="I102" s="44"/>
      <c r="J102" s="44"/>
      <c r="K102" s="44"/>
      <c r="L102" s="44"/>
      <c r="M102" s="44"/>
      <c r="N102" s="36"/>
      <c r="O102" s="36"/>
      <c r="P102" s="45"/>
      <c r="Q102" s="45"/>
      <c r="R102" s="44"/>
      <c r="S102" s="44" t="s">
        <v>33</v>
      </c>
      <c r="T102" s="30" t="str">
        <f>IFERROR(VLOOKUP(O102, '[1]CURSOS 2025'!A:B, 2, FALSE), "")</f>
        <v/>
      </c>
      <c r="U102" s="48">
        <f t="shared" si="7"/>
        <v>0</v>
      </c>
    </row>
    <row r="103" spans="1:21" s="40" customFormat="1" ht="39.950000000000003" customHeight="1" thickBot="1" x14ac:dyDescent="0.35">
      <c r="A103" s="30">
        <f t="array" ref="A103">IF(B103&lt;&gt;"",COUNTIF($B$19:B103,"&lt;&gt;"),"")</f>
        <v>65</v>
      </c>
      <c r="B103" s="41">
        <v>615</v>
      </c>
      <c r="C103" s="42" t="s">
        <v>199</v>
      </c>
      <c r="D103" s="43">
        <v>205768</v>
      </c>
      <c r="E103" s="42" t="s">
        <v>206</v>
      </c>
      <c r="F103" s="49" t="s">
        <v>175</v>
      </c>
      <c r="G103" s="36" t="s">
        <v>207</v>
      </c>
      <c r="H103" s="44"/>
      <c r="I103" s="44"/>
      <c r="J103" s="44"/>
      <c r="K103" s="44"/>
      <c r="L103" s="44"/>
      <c r="M103" s="44"/>
      <c r="N103" s="36"/>
      <c r="O103" s="36"/>
      <c r="P103" s="45"/>
      <c r="Q103" s="45"/>
      <c r="R103" s="44"/>
      <c r="S103" s="44" t="s">
        <v>33</v>
      </c>
      <c r="T103" s="30" t="str">
        <f>IFERROR(VLOOKUP(O103, '[1]CURSOS 2025'!A:B, 2, FALSE), "")</f>
        <v/>
      </c>
      <c r="U103" s="48">
        <f t="shared" si="7"/>
        <v>0</v>
      </c>
    </row>
    <row r="104" spans="1:21" s="40" customFormat="1" ht="39.950000000000003" customHeight="1" thickBot="1" x14ac:dyDescent="0.35">
      <c r="A104" s="30">
        <f t="array" ref="A104">IF(B104&lt;&gt;"",COUNTIF($B$19:B104,"&lt;&gt;"),"")</f>
        <v>66</v>
      </c>
      <c r="B104" s="41">
        <v>615</v>
      </c>
      <c r="C104" s="42" t="s">
        <v>199</v>
      </c>
      <c r="D104" s="43">
        <v>205753</v>
      </c>
      <c r="E104" s="42" t="s">
        <v>208</v>
      </c>
      <c r="F104" s="49" t="s">
        <v>175</v>
      </c>
      <c r="G104" s="36" t="s">
        <v>209</v>
      </c>
      <c r="H104" s="44"/>
      <c r="I104" s="44"/>
      <c r="J104" s="44"/>
      <c r="K104" s="44"/>
      <c r="L104" s="44"/>
      <c r="M104" s="44"/>
      <c r="N104" s="36"/>
      <c r="O104" s="36"/>
      <c r="P104" s="45"/>
      <c r="Q104" s="45"/>
      <c r="R104" s="44"/>
      <c r="S104" s="44" t="s">
        <v>37</v>
      </c>
      <c r="T104" s="30" t="str">
        <f>IFERROR(VLOOKUP(O104, '[1]CURSOS 2025'!A:B, 2, FALSE), "")</f>
        <v/>
      </c>
      <c r="U104" s="48">
        <f t="shared" si="7"/>
        <v>0</v>
      </c>
    </row>
    <row r="105" spans="1:21" s="40" customFormat="1" ht="39.950000000000003" customHeight="1" thickBot="1" x14ac:dyDescent="0.35">
      <c r="A105" s="30">
        <f t="array" ref="A105">IF(B105&lt;&gt;"",COUNTIF($B$19:B105,"&lt;&gt;"),"")</f>
        <v>67</v>
      </c>
      <c r="B105" s="41">
        <v>615</v>
      </c>
      <c r="C105" s="42" t="s">
        <v>38</v>
      </c>
      <c r="D105" s="43" t="s">
        <v>210</v>
      </c>
      <c r="E105" s="42" t="s">
        <v>211</v>
      </c>
      <c r="F105" s="49" t="s">
        <v>175</v>
      </c>
      <c r="G105" s="36" t="s">
        <v>212</v>
      </c>
      <c r="H105" s="44"/>
      <c r="I105" s="44"/>
      <c r="J105" s="44"/>
      <c r="K105" s="44"/>
      <c r="L105" s="44"/>
      <c r="M105" s="44"/>
      <c r="N105" s="36"/>
      <c r="O105" s="36"/>
      <c r="P105" s="45"/>
      <c r="Q105" s="45"/>
      <c r="R105" s="44"/>
      <c r="S105" s="44" t="s">
        <v>37</v>
      </c>
      <c r="T105" s="30" t="str">
        <f>IFERROR(VLOOKUP(O105, '[1]CURSOS 2025'!A:B, 2, FALSE), "")</f>
        <v/>
      </c>
      <c r="U105" s="48">
        <f t="shared" si="7"/>
        <v>0</v>
      </c>
    </row>
    <row r="106" spans="1:21" s="40" customFormat="1" ht="39.950000000000003" customHeight="1" thickBot="1" x14ac:dyDescent="0.35">
      <c r="A106" s="30">
        <f t="array" ref="A106">IF(B106&lt;&gt;"",COUNTIF($B$19:B106,"&lt;&gt;"),"")</f>
        <v>68</v>
      </c>
      <c r="B106" s="41">
        <v>615</v>
      </c>
      <c r="C106" s="42" t="s">
        <v>38</v>
      </c>
      <c r="D106" s="43" t="s">
        <v>213</v>
      </c>
      <c r="E106" s="42" t="s">
        <v>214</v>
      </c>
      <c r="F106" s="49" t="s">
        <v>175</v>
      </c>
      <c r="G106" s="36" t="s">
        <v>215</v>
      </c>
      <c r="H106" s="44"/>
      <c r="I106" s="44"/>
      <c r="J106" s="44"/>
      <c r="K106" s="44"/>
      <c r="L106" s="44"/>
      <c r="M106" s="44"/>
      <c r="N106" s="36"/>
      <c r="O106" s="36"/>
      <c r="P106" s="45"/>
      <c r="Q106" s="45"/>
      <c r="R106" s="44"/>
      <c r="S106" s="44" t="s">
        <v>33</v>
      </c>
      <c r="T106" s="30" t="str">
        <f>IFERROR(VLOOKUP(O106, '[1]CURSOS 2025'!A:B, 2, FALSE), "")</f>
        <v/>
      </c>
      <c r="U106" s="48">
        <f t="shared" si="7"/>
        <v>0</v>
      </c>
    </row>
    <row r="107" spans="1:21" s="40" customFormat="1" ht="39.950000000000003" customHeight="1" thickBot="1" x14ac:dyDescent="0.35">
      <c r="A107" s="30">
        <f t="array" ref="A107">IF(B107&lt;&gt;"",COUNTIF($B$19:B107,"&lt;&gt;"),"")</f>
        <v>69</v>
      </c>
      <c r="B107" s="41">
        <v>615</v>
      </c>
      <c r="C107" s="42" t="s">
        <v>45</v>
      </c>
      <c r="D107" s="43" t="s">
        <v>216</v>
      </c>
      <c r="E107" s="42" t="s">
        <v>217</v>
      </c>
      <c r="F107" s="49" t="s">
        <v>175</v>
      </c>
      <c r="G107" s="49" t="s">
        <v>218</v>
      </c>
      <c r="H107" s="44"/>
      <c r="I107" s="44"/>
      <c r="J107" s="44"/>
      <c r="K107" s="44" t="s">
        <v>231</v>
      </c>
      <c r="L107" s="44" t="s">
        <v>231</v>
      </c>
      <c r="M107" s="44" t="s">
        <v>231</v>
      </c>
      <c r="N107" s="36" t="s">
        <v>232</v>
      </c>
      <c r="O107" s="36" t="s">
        <v>1758</v>
      </c>
      <c r="P107" s="45">
        <v>46132</v>
      </c>
      <c r="Q107" s="45">
        <v>46132</v>
      </c>
      <c r="R107" s="44">
        <v>20</v>
      </c>
      <c r="S107" s="46" t="s">
        <v>37</v>
      </c>
      <c r="T107" s="30" t="str">
        <f>IFERROR(VLOOKUP(O107, '[1]CURSOS 2025'!A:B, 2, FALSE), "")</f>
        <v>S/COSTO</v>
      </c>
      <c r="U107" s="221">
        <f>SUM(R107:R108)</f>
        <v>40</v>
      </c>
    </row>
    <row r="108" spans="1:21" s="40" customFormat="1" ht="39.950000000000003" customHeight="1" thickBot="1" x14ac:dyDescent="0.35">
      <c r="A108" s="30"/>
      <c r="B108" s="41"/>
      <c r="C108" s="42"/>
      <c r="D108" s="43"/>
      <c r="E108" s="42"/>
      <c r="F108" s="49"/>
      <c r="G108" s="49"/>
      <c r="H108" s="44"/>
      <c r="I108" s="44"/>
      <c r="J108" s="44"/>
      <c r="K108" s="44" t="s">
        <v>231</v>
      </c>
      <c r="L108" s="44" t="s">
        <v>231</v>
      </c>
      <c r="M108" s="44" t="s">
        <v>231</v>
      </c>
      <c r="N108" s="36" t="s">
        <v>232</v>
      </c>
      <c r="O108" s="36" t="s">
        <v>1768</v>
      </c>
      <c r="P108" s="45">
        <v>46133</v>
      </c>
      <c r="Q108" s="45">
        <v>46133</v>
      </c>
      <c r="R108" s="44">
        <v>20</v>
      </c>
      <c r="S108" s="46" t="s">
        <v>37</v>
      </c>
      <c r="T108" s="30" t="s">
        <v>234</v>
      </c>
      <c r="U108" s="223"/>
    </row>
    <row r="109" spans="1:21" s="40" customFormat="1" ht="39.950000000000003" customHeight="1" thickBot="1" x14ac:dyDescent="0.35">
      <c r="A109" s="30">
        <f t="array" ref="A109">IF(B109&lt;&gt;"",COUNTIF($B$19:B109,"&lt;&gt;"),"")</f>
        <v>70</v>
      </c>
      <c r="B109" s="41">
        <v>615</v>
      </c>
      <c r="C109" s="42" t="s">
        <v>81</v>
      </c>
      <c r="D109" s="43" t="s">
        <v>219</v>
      </c>
      <c r="E109" s="42" t="s">
        <v>220</v>
      </c>
      <c r="F109" s="49" t="s">
        <v>175</v>
      </c>
      <c r="G109" s="49"/>
      <c r="H109" s="44"/>
      <c r="I109" s="44"/>
      <c r="J109" s="44"/>
      <c r="K109" s="44"/>
      <c r="L109" s="44"/>
      <c r="M109" s="44"/>
      <c r="N109" s="36"/>
      <c r="O109" s="36"/>
      <c r="P109" s="45"/>
      <c r="Q109" s="45"/>
      <c r="R109" s="44"/>
      <c r="S109" s="46" t="s">
        <v>37</v>
      </c>
      <c r="T109" s="30" t="str">
        <f>IFERROR(VLOOKUP(O109, '[1]CURSOS 2025'!A:B, 2, FALSE), "")</f>
        <v/>
      </c>
      <c r="U109" s="39">
        <f>SUM(R109:R109)</f>
        <v>0</v>
      </c>
    </row>
    <row r="110" spans="1:21" s="59" customFormat="1" ht="39.950000000000003" customHeight="1" thickBot="1" x14ac:dyDescent="0.35">
      <c r="A110" s="30" t="str">
        <f t="array" ref="A110">IF(B110&lt;&gt;"",COUNTIF($B$19:B110,"&lt;&gt;"),"")</f>
        <v/>
      </c>
      <c r="B110" s="50"/>
      <c r="C110" s="51"/>
      <c r="D110" s="52"/>
      <c r="E110" s="51"/>
      <c r="F110" s="53"/>
      <c r="G110" s="53"/>
      <c r="H110" s="54"/>
      <c r="I110" s="54"/>
      <c r="J110" s="54"/>
      <c r="K110" s="54"/>
      <c r="L110" s="54"/>
      <c r="M110" s="54"/>
      <c r="N110" s="55"/>
      <c r="O110" s="55"/>
      <c r="P110" s="56"/>
      <c r="Q110" s="56"/>
      <c r="R110" s="54"/>
      <c r="S110" s="54"/>
      <c r="T110" s="57" t="str">
        <f>IFERROR(VLOOKUP(O110, '[1]CURSOS 2025'!A:B, 2, FALSE), "")</f>
        <v/>
      </c>
      <c r="U110" s="58"/>
    </row>
    <row r="111" spans="1:21" s="40" customFormat="1" ht="39.950000000000003" customHeight="1" thickBot="1" x14ac:dyDescent="0.35">
      <c r="A111" s="30">
        <f t="array" ref="A111">IF(B111&lt;&gt;"",COUNTIF($B$19:B111,"&lt;&gt;"),"")</f>
        <v>71</v>
      </c>
      <c r="B111" s="41">
        <v>247</v>
      </c>
      <c r="C111" s="42" t="s">
        <v>42</v>
      </c>
      <c r="D111" s="43">
        <v>205924</v>
      </c>
      <c r="E111" s="42" t="s">
        <v>221</v>
      </c>
      <c r="F111" s="49" t="s">
        <v>222</v>
      </c>
      <c r="G111" s="36" t="s">
        <v>223</v>
      </c>
      <c r="H111" s="44"/>
      <c r="I111" s="44"/>
      <c r="J111" s="44"/>
      <c r="K111" s="44"/>
      <c r="L111" s="44"/>
      <c r="M111" s="44"/>
      <c r="N111" s="36"/>
      <c r="O111" s="36"/>
      <c r="P111" s="45"/>
      <c r="Q111" s="45"/>
      <c r="R111" s="44"/>
      <c r="S111" s="46" t="s">
        <v>33</v>
      </c>
      <c r="T111" s="30" t="str">
        <f>IFERROR(VLOOKUP(O111, '[1]CURSOS 2025'!A:B, 2, FALSE), "")</f>
        <v/>
      </c>
      <c r="U111" s="39">
        <f>SUM(R111:R111)</f>
        <v>0</v>
      </c>
    </row>
    <row r="112" spans="1:21" s="40" customFormat="1" ht="39.950000000000003" customHeight="1" thickBot="1" x14ac:dyDescent="0.35">
      <c r="A112" s="30">
        <f t="array" ref="A112">IF(B112&lt;&gt;"",COUNTIF($B$19:B112,"&lt;&gt;"),"")</f>
        <v>72</v>
      </c>
      <c r="B112" s="41">
        <v>247</v>
      </c>
      <c r="C112" s="42" t="s">
        <v>224</v>
      </c>
      <c r="D112" s="43">
        <v>205839</v>
      </c>
      <c r="E112" s="42" t="s">
        <v>225</v>
      </c>
      <c r="F112" s="49" t="s">
        <v>222</v>
      </c>
      <c r="G112" s="36" t="s">
        <v>226</v>
      </c>
      <c r="H112" s="44"/>
      <c r="I112" s="44"/>
      <c r="J112" s="44"/>
      <c r="K112" s="44" t="s">
        <v>231</v>
      </c>
      <c r="L112" s="44" t="s">
        <v>231</v>
      </c>
      <c r="M112" s="44" t="s">
        <v>231</v>
      </c>
      <c r="N112" s="36" t="s">
        <v>232</v>
      </c>
      <c r="O112" s="36" t="s">
        <v>1710</v>
      </c>
      <c r="P112" s="45">
        <v>46121</v>
      </c>
      <c r="Q112" s="45">
        <v>46121</v>
      </c>
      <c r="R112" s="44">
        <v>40</v>
      </c>
      <c r="S112" s="46" t="s">
        <v>37</v>
      </c>
      <c r="T112" s="30" t="s">
        <v>234</v>
      </c>
      <c r="U112" s="39">
        <f>SUM(R112:R112)</f>
        <v>40</v>
      </c>
    </row>
    <row r="113" spans="1:21" s="40" customFormat="1" ht="39.950000000000003" customHeight="1" thickBot="1" x14ac:dyDescent="0.35">
      <c r="A113" s="30">
        <f t="array" ref="A113">IF(B113&lt;&gt;"",COUNTIF($B$19:B113,"&lt;&gt;"),"")</f>
        <v>73</v>
      </c>
      <c r="B113" s="41">
        <v>247</v>
      </c>
      <c r="C113" s="42" t="s">
        <v>38</v>
      </c>
      <c r="D113" s="43">
        <v>205305</v>
      </c>
      <c r="E113" s="42" t="s">
        <v>227</v>
      </c>
      <c r="F113" s="49" t="s">
        <v>222</v>
      </c>
      <c r="G113" s="36" t="s">
        <v>228</v>
      </c>
      <c r="H113" s="44"/>
      <c r="I113" s="44"/>
      <c r="J113" s="44"/>
      <c r="K113" s="44"/>
      <c r="L113" s="44"/>
      <c r="M113" s="44"/>
      <c r="N113" s="36"/>
      <c r="O113" s="36"/>
      <c r="P113" s="45"/>
      <c r="Q113" s="45"/>
      <c r="R113" s="44"/>
      <c r="S113" s="44" t="s">
        <v>33</v>
      </c>
      <c r="T113" s="30" t="str">
        <f>IFERROR(VLOOKUP(O113, '[1]CURSOS 2025'!A:B, 2, FALSE), "")</f>
        <v/>
      </c>
      <c r="U113" s="48">
        <f t="shared" ref="U113" si="8">SUM(R113)</f>
        <v>0</v>
      </c>
    </row>
    <row r="114" spans="1:21" s="40" customFormat="1" ht="39.75" customHeight="1" thickBot="1" x14ac:dyDescent="0.35">
      <c r="A114" s="30">
        <f t="array" ref="A114">IF(B114&lt;&gt;"",COUNTIF($B$19:B114,"&lt;&gt;"),"")</f>
        <v>74</v>
      </c>
      <c r="B114" s="41">
        <v>247</v>
      </c>
      <c r="C114" s="42" t="s">
        <v>34</v>
      </c>
      <c r="D114" s="43">
        <v>206236</v>
      </c>
      <c r="E114" s="42" t="s">
        <v>229</v>
      </c>
      <c r="F114" s="49" t="s">
        <v>222</v>
      </c>
      <c r="G114" s="36" t="s">
        <v>230</v>
      </c>
      <c r="H114" s="44"/>
      <c r="I114" s="44"/>
      <c r="J114" s="44"/>
      <c r="K114" s="44" t="s">
        <v>231</v>
      </c>
      <c r="L114" s="44" t="s">
        <v>231</v>
      </c>
      <c r="M114" s="44" t="s">
        <v>231</v>
      </c>
      <c r="N114" s="36" t="s">
        <v>232</v>
      </c>
      <c r="O114" s="36" t="s">
        <v>233</v>
      </c>
      <c r="P114" s="45">
        <v>46029</v>
      </c>
      <c r="Q114" s="45">
        <v>46029</v>
      </c>
      <c r="R114" s="44">
        <v>40</v>
      </c>
      <c r="S114" s="46" t="s">
        <v>33</v>
      </c>
      <c r="T114" s="30" t="s">
        <v>234</v>
      </c>
      <c r="U114" s="39">
        <f>SUM(R114:R114)</f>
        <v>40</v>
      </c>
    </row>
    <row r="115" spans="1:21" s="40" customFormat="1" ht="39.950000000000003" customHeight="1" thickBot="1" x14ac:dyDescent="0.35">
      <c r="A115" s="30">
        <f t="array" ref="A115">IF(B115&lt;&gt;"",COUNTIF($B$19:B115,"&lt;&gt;"),"")</f>
        <v>75</v>
      </c>
      <c r="B115" s="41">
        <v>615</v>
      </c>
      <c r="C115" s="42" t="s">
        <v>141</v>
      </c>
      <c r="D115" s="43">
        <v>206229</v>
      </c>
      <c r="E115" s="42" t="s">
        <v>235</v>
      </c>
      <c r="F115" s="49" t="s">
        <v>222</v>
      </c>
      <c r="G115" s="36" t="s">
        <v>236</v>
      </c>
      <c r="H115" s="44"/>
      <c r="I115" s="44"/>
      <c r="J115" s="44"/>
      <c r="K115" s="44"/>
      <c r="L115" s="44"/>
      <c r="M115" s="44"/>
      <c r="N115" s="36"/>
      <c r="O115" s="36"/>
      <c r="P115" s="45"/>
      <c r="Q115" s="45"/>
      <c r="R115" s="44"/>
      <c r="S115" s="44" t="s">
        <v>37</v>
      </c>
      <c r="T115" s="30" t="str">
        <f>IFERROR(VLOOKUP(O115, '[1]CURSOS 2025'!A:B, 2, FALSE), "")</f>
        <v/>
      </c>
      <c r="U115" s="48">
        <f>SUM(R115)</f>
        <v>0</v>
      </c>
    </row>
    <row r="116" spans="1:21" s="40" customFormat="1" ht="39.950000000000003" customHeight="1" thickBot="1" x14ac:dyDescent="0.35">
      <c r="A116" s="30">
        <f t="array" ref="A116">IF(B116&lt;&gt;"",COUNTIF($B$19:B116,"&lt;&gt;"),"")</f>
        <v>76</v>
      </c>
      <c r="B116" s="41">
        <v>247</v>
      </c>
      <c r="C116" s="42" t="s">
        <v>81</v>
      </c>
      <c r="D116" s="43">
        <v>205934</v>
      </c>
      <c r="E116" s="42" t="s">
        <v>237</v>
      </c>
      <c r="F116" s="49" t="s">
        <v>222</v>
      </c>
      <c r="G116" s="36" t="s">
        <v>238</v>
      </c>
      <c r="H116" s="44"/>
      <c r="I116" s="44"/>
      <c r="J116" s="44"/>
      <c r="K116" s="44"/>
      <c r="L116" s="44"/>
      <c r="M116" s="44"/>
      <c r="N116" s="36"/>
      <c r="O116" s="36"/>
      <c r="P116" s="45"/>
      <c r="Q116" s="45"/>
      <c r="R116" s="44"/>
      <c r="S116" s="46" t="s">
        <v>37</v>
      </c>
      <c r="T116" s="30" t="str">
        <f>IFERROR(VLOOKUP(O116, '[1]CURSOS 2025'!A:B, 2, FALSE), "")</f>
        <v/>
      </c>
      <c r="U116" s="39">
        <f>SUM(R116)</f>
        <v>0</v>
      </c>
    </row>
    <row r="117" spans="1:21" s="40" customFormat="1" ht="39.950000000000003" customHeight="1" thickBot="1" x14ac:dyDescent="0.35">
      <c r="A117" s="30">
        <f t="array" ref="A117">IF(B117&lt;&gt;"",COUNTIF($B$19:B117,"&lt;&gt;"),"")</f>
        <v>77</v>
      </c>
      <c r="B117" s="41">
        <v>247</v>
      </c>
      <c r="C117" s="42" t="s">
        <v>38</v>
      </c>
      <c r="D117" s="43">
        <v>205851</v>
      </c>
      <c r="E117" s="42" t="s">
        <v>239</v>
      </c>
      <c r="F117" s="49" t="s">
        <v>222</v>
      </c>
      <c r="G117" s="36" t="s">
        <v>240</v>
      </c>
      <c r="H117" s="44"/>
      <c r="I117" s="44"/>
      <c r="J117" s="44"/>
      <c r="K117" s="44" t="s">
        <v>231</v>
      </c>
      <c r="L117" s="44" t="s">
        <v>231</v>
      </c>
      <c r="M117" s="44" t="s">
        <v>231</v>
      </c>
      <c r="N117" s="36" t="s">
        <v>232</v>
      </c>
      <c r="O117" s="36" t="s">
        <v>1758</v>
      </c>
      <c r="P117" s="45">
        <v>46136</v>
      </c>
      <c r="Q117" s="45">
        <v>46136</v>
      </c>
      <c r="R117" s="44">
        <v>20</v>
      </c>
      <c r="S117" s="46" t="s">
        <v>33</v>
      </c>
      <c r="T117" s="30" t="str">
        <f>IFERROR(VLOOKUP(O117, '[1]CURSOS 2025'!A:B, 2, FALSE), "")</f>
        <v>S/COSTO</v>
      </c>
      <c r="U117" s="221">
        <f>SUM(R117:R118)</f>
        <v>40</v>
      </c>
    </row>
    <row r="118" spans="1:21" s="40" customFormat="1" ht="39.950000000000003" customHeight="1" thickBot="1" x14ac:dyDescent="0.35">
      <c r="A118" s="30"/>
      <c r="B118" s="41"/>
      <c r="C118" s="42"/>
      <c r="D118" s="43"/>
      <c r="E118" s="42"/>
      <c r="F118" s="49"/>
      <c r="G118" s="36"/>
      <c r="H118" s="44"/>
      <c r="I118" s="44"/>
      <c r="J118" s="44"/>
      <c r="K118" s="44" t="s">
        <v>231</v>
      </c>
      <c r="L118" s="44" t="s">
        <v>231</v>
      </c>
      <c r="M118" s="44" t="s">
        <v>231</v>
      </c>
      <c r="N118" s="36" t="s">
        <v>232</v>
      </c>
      <c r="O118" s="36" t="s">
        <v>1768</v>
      </c>
      <c r="P118" s="45">
        <v>46136</v>
      </c>
      <c r="Q118" s="45">
        <v>46136</v>
      </c>
      <c r="R118" s="44">
        <v>20</v>
      </c>
      <c r="S118" s="46" t="s">
        <v>33</v>
      </c>
      <c r="T118" s="30" t="s">
        <v>234</v>
      </c>
      <c r="U118" s="223"/>
    </row>
    <row r="119" spans="1:21" s="40" customFormat="1" ht="39.950000000000003" customHeight="1" thickBot="1" x14ac:dyDescent="0.35">
      <c r="A119" s="30">
        <f t="array" ref="A119">IF(B119&lt;&gt;"",COUNTIF($B$19:B119,"&lt;&gt;"),"")</f>
        <v>78</v>
      </c>
      <c r="B119" s="41">
        <v>247</v>
      </c>
      <c r="C119" s="42" t="s">
        <v>34</v>
      </c>
      <c r="D119" s="43">
        <v>205106</v>
      </c>
      <c r="E119" s="42" t="s">
        <v>241</v>
      </c>
      <c r="F119" s="49" t="s">
        <v>222</v>
      </c>
      <c r="G119" s="36" t="s">
        <v>242</v>
      </c>
      <c r="H119" s="44"/>
      <c r="I119" s="44"/>
      <c r="J119" s="44"/>
      <c r="K119" s="44"/>
      <c r="L119" s="44"/>
      <c r="M119" s="44"/>
      <c r="N119" s="36"/>
      <c r="O119" s="36"/>
      <c r="P119" s="45"/>
      <c r="Q119" s="45"/>
      <c r="R119" s="44"/>
      <c r="S119" s="44" t="s">
        <v>33</v>
      </c>
      <c r="T119" s="30" t="str">
        <f>IFERROR(VLOOKUP(O119, '[1]CURSOS 2025'!A:B, 2, FALSE), "")</f>
        <v/>
      </c>
      <c r="U119" s="48">
        <f t="shared" ref="U119" si="9">SUM(R119)</f>
        <v>0</v>
      </c>
    </row>
    <row r="120" spans="1:21" s="40" customFormat="1" ht="39.950000000000003" customHeight="1" thickBot="1" x14ac:dyDescent="0.35">
      <c r="A120" s="30">
        <f t="array" ref="A120">IF(B120&lt;&gt;"",COUNTIF($B$19:B120,"&lt;&gt;"),"")</f>
        <v>79</v>
      </c>
      <c r="B120" s="41">
        <v>247</v>
      </c>
      <c r="C120" s="42" t="s">
        <v>243</v>
      </c>
      <c r="D120" s="43">
        <v>206056</v>
      </c>
      <c r="E120" s="42" t="s">
        <v>244</v>
      </c>
      <c r="F120" s="49" t="s">
        <v>222</v>
      </c>
      <c r="G120" s="36" t="s">
        <v>245</v>
      </c>
      <c r="H120" s="44"/>
      <c r="I120" s="44"/>
      <c r="J120" s="44"/>
      <c r="K120" s="44"/>
      <c r="L120" s="44"/>
      <c r="M120" s="44"/>
      <c r="N120" s="36"/>
      <c r="O120" s="36"/>
      <c r="P120" s="45"/>
      <c r="Q120" s="45"/>
      <c r="R120" s="44"/>
      <c r="S120" s="46" t="s">
        <v>33</v>
      </c>
      <c r="T120" s="30" t="str">
        <f>IFERROR(VLOOKUP(O120, '[1]CURSOS 2025'!A:B, 2, FALSE), "")</f>
        <v/>
      </c>
      <c r="U120" s="39">
        <f>SUM(R120:R120)</f>
        <v>0</v>
      </c>
    </row>
    <row r="121" spans="1:21" s="40" customFormat="1" ht="39.950000000000003" customHeight="1" thickBot="1" x14ac:dyDescent="0.35">
      <c r="A121" s="30">
        <f t="array" ref="A121">IF(B121&lt;&gt;"",COUNTIF($B$19:B121,"&lt;&gt;"),"")</f>
        <v>80</v>
      </c>
      <c r="B121" s="41">
        <v>247</v>
      </c>
      <c r="C121" s="42" t="s">
        <v>38</v>
      </c>
      <c r="D121" s="43">
        <v>5098</v>
      </c>
      <c r="E121" s="42" t="s">
        <v>246</v>
      </c>
      <c r="F121" s="49" t="s">
        <v>222</v>
      </c>
      <c r="G121" s="36" t="s">
        <v>247</v>
      </c>
      <c r="H121" s="44"/>
      <c r="I121" s="44"/>
      <c r="J121" s="44"/>
      <c r="K121" s="44"/>
      <c r="L121" s="44"/>
      <c r="M121" s="44"/>
      <c r="N121" s="36"/>
      <c r="O121" s="36"/>
      <c r="P121" s="45"/>
      <c r="Q121" s="45"/>
      <c r="R121" s="44"/>
      <c r="S121" s="46" t="s">
        <v>37</v>
      </c>
      <c r="T121" s="30" t="str">
        <f>IFERROR(VLOOKUP(O121, '[1]CURSOS 2025'!A:B, 2, FALSE), "")</f>
        <v/>
      </c>
      <c r="U121" s="39">
        <f>SUM(R121:R121)</f>
        <v>0</v>
      </c>
    </row>
    <row r="122" spans="1:21" s="40" customFormat="1" ht="39.950000000000003" customHeight="1" thickBot="1" x14ac:dyDescent="0.35">
      <c r="A122" s="30">
        <f t="array" ref="A122">IF(B122&lt;&gt;"",COUNTIF($B$19:B122,"&lt;&gt;"),"")</f>
        <v>81</v>
      </c>
      <c r="B122" s="41">
        <v>247</v>
      </c>
      <c r="C122" s="42" t="s">
        <v>45</v>
      </c>
      <c r="D122" s="43">
        <v>427</v>
      </c>
      <c r="E122" s="42" t="s">
        <v>248</v>
      </c>
      <c r="F122" s="49" t="s">
        <v>222</v>
      </c>
      <c r="G122" s="36" t="s">
        <v>249</v>
      </c>
      <c r="H122" s="44"/>
      <c r="I122" s="44"/>
      <c r="J122" s="44"/>
      <c r="K122" s="44"/>
      <c r="L122" s="44"/>
      <c r="M122" s="44"/>
      <c r="N122" s="36"/>
      <c r="O122" s="36"/>
      <c r="P122" s="45"/>
      <c r="Q122" s="45"/>
      <c r="R122" s="44"/>
      <c r="S122" s="46" t="s">
        <v>37</v>
      </c>
      <c r="T122" s="30" t="str">
        <f>IFERROR(VLOOKUP(O122, '[1]CURSOS 2025'!A:B, 2, FALSE), "")</f>
        <v/>
      </c>
      <c r="U122" s="39">
        <f>SUM(R122:R122)</f>
        <v>0</v>
      </c>
    </row>
    <row r="123" spans="1:21" s="40" customFormat="1" ht="30.75" customHeight="1" thickBot="1" x14ac:dyDescent="0.35">
      <c r="A123" s="30">
        <f t="array" ref="A123">IF(B123&lt;&gt;"",COUNTIF($B$19:B123,"&lt;&gt;"),"")</f>
        <v>82</v>
      </c>
      <c r="B123" s="41">
        <v>247</v>
      </c>
      <c r="C123" s="42" t="s">
        <v>45</v>
      </c>
      <c r="D123" s="43">
        <v>5913</v>
      </c>
      <c r="E123" s="42" t="s">
        <v>250</v>
      </c>
      <c r="F123" s="49" t="s">
        <v>222</v>
      </c>
      <c r="G123" s="36" t="s">
        <v>251</v>
      </c>
      <c r="H123" s="44"/>
      <c r="I123" s="44"/>
      <c r="J123" s="44"/>
      <c r="K123" s="44"/>
      <c r="L123" s="44"/>
      <c r="M123" s="44"/>
      <c r="N123" s="36"/>
      <c r="O123" s="36"/>
      <c r="P123" s="45"/>
      <c r="Q123" s="45"/>
      <c r="R123" s="44"/>
      <c r="S123" s="46" t="s">
        <v>33</v>
      </c>
      <c r="T123" s="30" t="str">
        <f>IFERROR(VLOOKUP(O123, '[1]CURSOS 2025'!A:B, 2, FALSE), "")</f>
        <v/>
      </c>
      <c r="U123" s="39">
        <f>SUM(R123:R123)</f>
        <v>0</v>
      </c>
    </row>
    <row r="124" spans="1:21" s="40" customFormat="1" ht="39.950000000000003" customHeight="1" thickBot="1" x14ac:dyDescent="0.35">
      <c r="A124" s="30">
        <f t="array" ref="A124">IF(B124&lt;&gt;"",COUNTIF($B$19:B124,"&lt;&gt;"),"")</f>
        <v>83</v>
      </c>
      <c r="B124" s="41">
        <v>247</v>
      </c>
      <c r="C124" s="42" t="s">
        <v>252</v>
      </c>
      <c r="D124" s="43" t="s">
        <v>253</v>
      </c>
      <c r="E124" s="42" t="s">
        <v>254</v>
      </c>
      <c r="F124" s="49" t="s">
        <v>222</v>
      </c>
      <c r="G124" s="36" t="s">
        <v>255</v>
      </c>
      <c r="H124" s="44"/>
      <c r="I124" s="44"/>
      <c r="J124" s="44"/>
      <c r="K124" s="216" t="s">
        <v>231</v>
      </c>
      <c r="L124" s="214" t="s">
        <v>231</v>
      </c>
      <c r="M124" s="214" t="s">
        <v>231</v>
      </c>
      <c r="N124" s="217" t="s">
        <v>1537</v>
      </c>
      <c r="O124" s="217" t="s">
        <v>1710</v>
      </c>
      <c r="P124" s="213">
        <v>46126</v>
      </c>
      <c r="Q124" s="213">
        <v>46126</v>
      </c>
      <c r="R124" s="214">
        <v>40</v>
      </c>
      <c r="S124" s="46" t="s">
        <v>33</v>
      </c>
      <c r="T124" s="30" t="s">
        <v>234</v>
      </c>
      <c r="U124" s="39">
        <f t="shared" ref="U124:U130" si="10">SUM(R124:R124)</f>
        <v>40</v>
      </c>
    </row>
    <row r="125" spans="1:21" s="40" customFormat="1" ht="39.950000000000003" customHeight="1" thickBot="1" x14ac:dyDescent="0.35">
      <c r="A125" s="30">
        <f t="array" ref="A125">IF(B125&lt;&gt;"",COUNTIF($B$19:B125,"&lt;&gt;"),"")</f>
        <v>84</v>
      </c>
      <c r="B125" s="41">
        <v>247</v>
      </c>
      <c r="C125" s="42" t="s">
        <v>256</v>
      </c>
      <c r="D125" s="43" t="s">
        <v>257</v>
      </c>
      <c r="E125" s="42" t="s">
        <v>258</v>
      </c>
      <c r="F125" s="49" t="s">
        <v>222</v>
      </c>
      <c r="G125" s="36" t="s">
        <v>259</v>
      </c>
      <c r="H125" s="44"/>
      <c r="I125" s="44"/>
      <c r="J125" s="44"/>
      <c r="K125" s="44"/>
      <c r="L125" s="44"/>
      <c r="M125" s="44"/>
      <c r="N125" s="36"/>
      <c r="O125" s="36"/>
      <c r="P125" s="45"/>
      <c r="Q125" s="45"/>
      <c r="R125" s="44"/>
      <c r="S125" s="46" t="s">
        <v>33</v>
      </c>
      <c r="T125" s="30" t="str">
        <f>IFERROR(VLOOKUP(O125, '[1]CURSOS 2025'!A:B, 2, FALSE), "")</f>
        <v/>
      </c>
      <c r="U125" s="39">
        <f t="shared" si="10"/>
        <v>0</v>
      </c>
    </row>
    <row r="126" spans="1:21" s="40" customFormat="1" ht="39.950000000000003" customHeight="1" thickBot="1" x14ac:dyDescent="0.35">
      <c r="A126" s="30">
        <f t="array" ref="A126">IF(B126&lt;&gt;"",COUNTIF($B$19:B126,"&lt;&gt;"),"")</f>
        <v>85</v>
      </c>
      <c r="B126" s="41">
        <v>247</v>
      </c>
      <c r="C126" s="42" t="s">
        <v>252</v>
      </c>
      <c r="D126" s="43" t="s">
        <v>260</v>
      </c>
      <c r="E126" s="42" t="s">
        <v>261</v>
      </c>
      <c r="F126" s="49" t="s">
        <v>222</v>
      </c>
      <c r="G126" s="36" t="s">
        <v>262</v>
      </c>
      <c r="H126" s="44"/>
      <c r="I126" s="44"/>
      <c r="J126" s="44"/>
      <c r="K126" s="44"/>
      <c r="L126" s="44"/>
      <c r="M126" s="44"/>
      <c r="N126" s="36"/>
      <c r="O126" s="36"/>
      <c r="P126" s="45"/>
      <c r="Q126" s="45"/>
      <c r="R126" s="44"/>
      <c r="S126" s="46" t="s">
        <v>33</v>
      </c>
      <c r="T126" s="30" t="str">
        <f>IFERROR(VLOOKUP(O126, '[1]CURSOS 2025'!A:B, 2, FALSE), "")</f>
        <v/>
      </c>
      <c r="U126" s="39">
        <f t="shared" si="10"/>
        <v>0</v>
      </c>
    </row>
    <row r="127" spans="1:21" s="40" customFormat="1" ht="39.950000000000003" customHeight="1" thickBot="1" x14ac:dyDescent="0.35">
      <c r="A127" s="30">
        <f t="array" ref="A127">IF(B127&lt;&gt;"",COUNTIF($B$19:B127,"&lt;&gt;"),"")</f>
        <v>86</v>
      </c>
      <c r="B127" s="41">
        <v>247</v>
      </c>
      <c r="C127" s="42" t="s">
        <v>256</v>
      </c>
      <c r="D127" s="43" t="s">
        <v>263</v>
      </c>
      <c r="E127" s="42" t="s">
        <v>264</v>
      </c>
      <c r="F127" s="49" t="s">
        <v>222</v>
      </c>
      <c r="G127" s="36" t="s">
        <v>265</v>
      </c>
      <c r="H127" s="44"/>
      <c r="I127" s="44"/>
      <c r="J127" s="44"/>
      <c r="K127" s="44"/>
      <c r="L127" s="44"/>
      <c r="M127" s="44"/>
      <c r="N127" s="36"/>
      <c r="O127" s="36"/>
      <c r="P127" s="45"/>
      <c r="Q127" s="45"/>
      <c r="R127" s="44"/>
      <c r="S127" s="46" t="s">
        <v>37</v>
      </c>
      <c r="T127" s="30" t="str">
        <f>IFERROR(VLOOKUP(O127, '[1]CURSOS 2025'!A:B, 2, FALSE), "")</f>
        <v/>
      </c>
      <c r="U127" s="39">
        <f t="shared" si="10"/>
        <v>0</v>
      </c>
    </row>
    <row r="128" spans="1:21" s="40" customFormat="1" ht="39.950000000000003" customHeight="1" thickBot="1" x14ac:dyDescent="0.35">
      <c r="A128" s="30">
        <f t="array" ref="A128">IF(B128&lt;&gt;"",COUNTIF($B$19:B128,"&lt;&gt;"),"")</f>
        <v>87</v>
      </c>
      <c r="B128" s="41">
        <v>247</v>
      </c>
      <c r="C128" s="42" t="s">
        <v>256</v>
      </c>
      <c r="D128" s="43" t="s">
        <v>266</v>
      </c>
      <c r="E128" s="42" t="s">
        <v>267</v>
      </c>
      <c r="F128" s="49" t="s">
        <v>222</v>
      </c>
      <c r="G128" s="36" t="s">
        <v>268</v>
      </c>
      <c r="H128" s="44"/>
      <c r="I128" s="44"/>
      <c r="J128" s="44"/>
      <c r="K128" s="44"/>
      <c r="L128" s="44"/>
      <c r="M128" s="44"/>
      <c r="N128" s="36"/>
      <c r="O128" s="36"/>
      <c r="P128" s="45"/>
      <c r="Q128" s="45"/>
      <c r="R128" s="44"/>
      <c r="S128" s="46" t="s">
        <v>33</v>
      </c>
      <c r="T128" s="30" t="str">
        <f>IFERROR(VLOOKUP(O128, '[1]CURSOS 2025'!A:B, 2, FALSE), "")</f>
        <v/>
      </c>
      <c r="U128" s="39">
        <f t="shared" si="10"/>
        <v>0</v>
      </c>
    </row>
    <row r="129" spans="1:21 16381:16383" s="40" customFormat="1" ht="39.950000000000003" customHeight="1" thickBot="1" x14ac:dyDescent="0.35">
      <c r="A129" s="30">
        <f t="array" ref="A129">IF(B129&lt;&gt;"",COUNTIF($B$19:B129,"&lt;&gt;"),"")</f>
        <v>88</v>
      </c>
      <c r="B129" s="41">
        <v>247</v>
      </c>
      <c r="C129" s="42" t="s">
        <v>243</v>
      </c>
      <c r="D129" s="43">
        <v>205454</v>
      </c>
      <c r="E129" s="42" t="s">
        <v>269</v>
      </c>
      <c r="F129" s="49" t="s">
        <v>222</v>
      </c>
      <c r="G129" s="36" t="s">
        <v>270</v>
      </c>
      <c r="H129" s="44"/>
      <c r="I129" s="44"/>
      <c r="J129" s="44"/>
      <c r="K129" s="44"/>
      <c r="L129" s="44"/>
      <c r="M129" s="44"/>
      <c r="N129" s="36"/>
      <c r="O129" s="36"/>
      <c r="P129" s="45"/>
      <c r="Q129" s="45"/>
      <c r="R129" s="44"/>
      <c r="S129" s="46" t="s">
        <v>37</v>
      </c>
      <c r="T129" s="30" t="str">
        <f>IFERROR(VLOOKUP(O129, '[1]CURSOS 2025'!A:B, 2, FALSE), "")</f>
        <v/>
      </c>
      <c r="U129" s="39">
        <f t="shared" si="10"/>
        <v>0</v>
      </c>
    </row>
    <row r="130" spans="1:21 16381:16383" s="40" customFormat="1" ht="39.75" customHeight="1" thickBot="1" x14ac:dyDescent="0.35">
      <c r="A130" s="30">
        <f t="array" ref="A130">IF(B130&lt;&gt;"",COUNTIF($B$19:B130,"&lt;&gt;"),"")</f>
        <v>89</v>
      </c>
      <c r="B130" s="41">
        <v>247</v>
      </c>
      <c r="C130" s="42" t="s">
        <v>45</v>
      </c>
      <c r="D130" s="43">
        <v>5803</v>
      </c>
      <c r="E130" s="42" t="s">
        <v>271</v>
      </c>
      <c r="F130" s="49" t="s">
        <v>222</v>
      </c>
      <c r="G130" s="36" t="s">
        <v>272</v>
      </c>
      <c r="H130" s="44"/>
      <c r="I130" s="44"/>
      <c r="J130" s="44"/>
      <c r="K130" s="44"/>
      <c r="L130" s="44"/>
      <c r="M130" s="44"/>
      <c r="N130" s="36"/>
      <c r="O130" s="36"/>
      <c r="P130" s="45"/>
      <c r="Q130" s="45"/>
      <c r="R130" s="44"/>
      <c r="S130" s="46" t="s">
        <v>37</v>
      </c>
      <c r="T130" s="30" t="str">
        <f>IFERROR(VLOOKUP(O130, '[1]CURSOS 2025'!A:B, 2, FALSE), "")</f>
        <v/>
      </c>
      <c r="U130" s="39">
        <f t="shared" si="10"/>
        <v>0</v>
      </c>
    </row>
    <row r="131" spans="1:21 16381:16383" s="40" customFormat="1" ht="39.950000000000003" customHeight="1" thickBot="1" x14ac:dyDescent="0.35">
      <c r="A131" s="30">
        <f t="array" ref="A131">IF(B131&lt;&gt;"",COUNTIF($B$19:B131,"&lt;&gt;"),"")</f>
        <v>90</v>
      </c>
      <c r="B131" s="41">
        <v>247</v>
      </c>
      <c r="C131" s="42" t="s">
        <v>45</v>
      </c>
      <c r="D131" s="43">
        <v>5949</v>
      </c>
      <c r="E131" s="42" t="s">
        <v>273</v>
      </c>
      <c r="F131" s="49" t="s">
        <v>222</v>
      </c>
      <c r="G131" s="36" t="s">
        <v>274</v>
      </c>
      <c r="H131" s="44"/>
      <c r="I131" s="44"/>
      <c r="J131" s="44"/>
      <c r="K131" s="44"/>
      <c r="L131" s="44"/>
      <c r="M131" s="44"/>
      <c r="N131" s="36"/>
      <c r="O131" s="36"/>
      <c r="P131" s="45"/>
      <c r="Q131" s="45"/>
      <c r="R131" s="44"/>
      <c r="S131" s="44" t="s">
        <v>37</v>
      </c>
      <c r="T131" s="30" t="str">
        <f>IFERROR(VLOOKUP(O131, '[1]CURSOS 2025'!A:B, 2, FALSE), "")</f>
        <v/>
      </c>
      <c r="U131" s="48">
        <f t="shared" ref="U131" si="11">SUM(R131)</f>
        <v>0</v>
      </c>
    </row>
    <row r="132" spans="1:21 16381:16383" s="40" customFormat="1" ht="39.950000000000003" customHeight="1" thickBot="1" x14ac:dyDescent="0.35">
      <c r="A132" s="30">
        <f t="array" ref="A132">IF(B132&lt;&gt;"",COUNTIF($B$19:B132,"&lt;&gt;"),"")</f>
        <v>91</v>
      </c>
      <c r="B132" s="41">
        <v>247</v>
      </c>
      <c r="C132" s="42" t="s">
        <v>256</v>
      </c>
      <c r="D132" s="43">
        <v>5721</v>
      </c>
      <c r="E132" s="42" t="s">
        <v>275</v>
      </c>
      <c r="F132" s="49" t="s">
        <v>222</v>
      </c>
      <c r="G132" s="36" t="s">
        <v>276</v>
      </c>
      <c r="H132" s="44"/>
      <c r="I132" s="44"/>
      <c r="J132" s="44"/>
      <c r="K132" s="44"/>
      <c r="L132" s="44"/>
      <c r="M132" s="44"/>
      <c r="N132" s="36"/>
      <c r="O132" s="36"/>
      <c r="P132" s="45"/>
      <c r="Q132" s="45"/>
      <c r="R132" s="44"/>
      <c r="S132" s="46" t="s">
        <v>37</v>
      </c>
      <c r="T132" s="30" t="str">
        <f>IFERROR(VLOOKUP(O132, '[1]CURSOS 2025'!A:B, 2, FALSE), "")</f>
        <v/>
      </c>
      <c r="U132" s="39">
        <f>SUM(R132:R132)</f>
        <v>0</v>
      </c>
    </row>
    <row r="133" spans="1:21 16381:16383" s="40" customFormat="1" ht="39.950000000000003" customHeight="1" thickBot="1" x14ac:dyDescent="0.35">
      <c r="A133" s="30">
        <f t="array" ref="A133">IF(B133&lt;&gt;"",COUNTIF($B$19:B133,"&lt;&gt;"),"")</f>
        <v>92</v>
      </c>
      <c r="B133" s="41">
        <v>247</v>
      </c>
      <c r="C133" s="42" t="s">
        <v>45</v>
      </c>
      <c r="D133" s="43">
        <v>303</v>
      </c>
      <c r="E133" s="42" t="s">
        <v>277</v>
      </c>
      <c r="F133" s="49" t="s">
        <v>222</v>
      </c>
      <c r="G133" s="36" t="s">
        <v>278</v>
      </c>
      <c r="H133" s="44"/>
      <c r="I133" s="44"/>
      <c r="J133" s="44"/>
      <c r="K133" s="44"/>
      <c r="L133" s="44"/>
      <c r="M133" s="44"/>
      <c r="N133" s="36"/>
      <c r="O133" s="36"/>
      <c r="P133" s="45"/>
      <c r="Q133" s="45"/>
      <c r="R133" s="44"/>
      <c r="S133" s="44" t="s">
        <v>37</v>
      </c>
      <c r="T133" s="30" t="str">
        <f>IFERROR(VLOOKUP(O133, '[1]CURSOS 2025'!A:B, 2, FALSE), "")</f>
        <v/>
      </c>
      <c r="U133" s="48">
        <f t="shared" ref="U133:U135" si="12">SUM(R133)</f>
        <v>0</v>
      </c>
    </row>
    <row r="134" spans="1:21 16381:16383" s="40" customFormat="1" ht="39.950000000000003" customHeight="1" thickBot="1" x14ac:dyDescent="0.35">
      <c r="A134" s="30">
        <f t="array" ref="A134">IF(B134&lt;&gt;"",COUNTIF($B$19:B134,"&lt;&gt;"),"")</f>
        <v>93</v>
      </c>
      <c r="B134" s="41">
        <v>247</v>
      </c>
      <c r="C134" s="42" t="s">
        <v>45</v>
      </c>
      <c r="D134" s="43">
        <v>5537</v>
      </c>
      <c r="E134" s="42" t="s">
        <v>279</v>
      </c>
      <c r="F134" s="49" t="s">
        <v>222</v>
      </c>
      <c r="G134" s="36" t="s">
        <v>280</v>
      </c>
      <c r="H134" s="44"/>
      <c r="I134" s="44"/>
      <c r="J134" s="44"/>
      <c r="K134" s="44"/>
      <c r="L134" s="44"/>
      <c r="M134" s="44"/>
      <c r="N134" s="36"/>
      <c r="O134" s="36"/>
      <c r="P134" s="45"/>
      <c r="Q134" s="45"/>
      <c r="R134" s="44"/>
      <c r="S134" s="44" t="s">
        <v>33</v>
      </c>
      <c r="T134" s="30" t="str">
        <f>IFERROR(VLOOKUP(O134, '[1]CURSOS 2025'!A:B, 2, FALSE), "")</f>
        <v/>
      </c>
      <c r="U134" s="48">
        <f t="shared" si="12"/>
        <v>0</v>
      </c>
    </row>
    <row r="135" spans="1:21 16381:16383" s="40" customFormat="1" ht="39.950000000000003" customHeight="1" thickBot="1" x14ac:dyDescent="0.35">
      <c r="A135" s="30">
        <f t="array" ref="A135">IF(B135&lt;&gt;"",COUNTIF($B$19:B135,"&lt;&gt;"),"")</f>
        <v>94</v>
      </c>
      <c r="B135" s="41">
        <v>247</v>
      </c>
      <c r="C135" s="42" t="s">
        <v>45</v>
      </c>
      <c r="D135" s="43">
        <v>5352</v>
      </c>
      <c r="E135" s="42" t="s">
        <v>281</v>
      </c>
      <c r="F135" s="49" t="s">
        <v>222</v>
      </c>
      <c r="G135" s="36" t="s">
        <v>282</v>
      </c>
      <c r="H135" s="44"/>
      <c r="I135" s="44"/>
      <c r="J135" s="44"/>
      <c r="K135" s="44"/>
      <c r="L135" s="44"/>
      <c r="M135" s="44"/>
      <c r="N135" s="36"/>
      <c r="O135" s="36"/>
      <c r="P135" s="45"/>
      <c r="Q135" s="45"/>
      <c r="R135" s="44"/>
      <c r="S135" s="44" t="s">
        <v>37</v>
      </c>
      <c r="T135" s="30" t="str">
        <f>IFERROR(VLOOKUP(O135, '[1]CURSOS 2025'!A:B, 2, FALSE), "")</f>
        <v/>
      </c>
      <c r="U135" s="48">
        <f t="shared" si="12"/>
        <v>0</v>
      </c>
    </row>
    <row r="136" spans="1:21 16381:16383" s="40" customFormat="1" ht="39.950000000000003" customHeight="1" thickBot="1" x14ac:dyDescent="0.35">
      <c r="A136" s="30">
        <f t="array" ref="A136">IF(B136&lt;&gt;"",COUNTIF($B$19:B136,"&lt;&gt;"),"")</f>
        <v>95</v>
      </c>
      <c r="B136" s="41">
        <v>247</v>
      </c>
      <c r="C136" s="42" t="s">
        <v>283</v>
      </c>
      <c r="D136" s="43">
        <v>205846</v>
      </c>
      <c r="E136" s="42" t="s">
        <v>284</v>
      </c>
      <c r="F136" s="49" t="s">
        <v>222</v>
      </c>
      <c r="G136" s="36" t="s">
        <v>285</v>
      </c>
      <c r="H136" s="44"/>
      <c r="I136" s="44"/>
      <c r="J136" s="44"/>
      <c r="K136" s="44"/>
      <c r="L136" s="44"/>
      <c r="M136" s="44"/>
      <c r="N136" s="36"/>
      <c r="O136" s="36"/>
      <c r="P136" s="45"/>
      <c r="Q136" s="45"/>
      <c r="R136" s="44"/>
      <c r="S136" s="46" t="s">
        <v>33</v>
      </c>
      <c r="T136" s="30" t="str">
        <f>IFERROR(VLOOKUP(O136, '[1]CURSOS 2025'!A:B, 2, FALSE), "")</f>
        <v/>
      </c>
      <c r="U136" s="39">
        <f>SUM(R136:R136)</f>
        <v>0</v>
      </c>
    </row>
    <row r="137" spans="1:21 16381:16383" s="40" customFormat="1" ht="39.950000000000003" customHeight="1" thickBot="1" x14ac:dyDescent="0.35">
      <c r="A137" s="30">
        <f t="array" ref="A137">IF(B137&lt;&gt;"",COUNTIF($B$19:B137,"&lt;&gt;"),"")</f>
        <v>96</v>
      </c>
      <c r="B137" s="41">
        <v>247</v>
      </c>
      <c r="C137" s="42" t="s">
        <v>286</v>
      </c>
      <c r="D137" s="43">
        <v>5933</v>
      </c>
      <c r="E137" s="42" t="s">
        <v>287</v>
      </c>
      <c r="F137" s="49" t="s">
        <v>222</v>
      </c>
      <c r="G137" s="36" t="s">
        <v>288</v>
      </c>
      <c r="H137" s="44"/>
      <c r="I137" s="44"/>
      <c r="J137" s="44"/>
      <c r="K137" s="44" t="s">
        <v>231</v>
      </c>
      <c r="L137" s="44" t="s">
        <v>231</v>
      </c>
      <c r="M137" s="44" t="s">
        <v>231</v>
      </c>
      <c r="N137" s="36" t="s">
        <v>1537</v>
      </c>
      <c r="O137" s="36" t="s">
        <v>233</v>
      </c>
      <c r="P137" s="45">
        <v>46077</v>
      </c>
      <c r="Q137" s="45">
        <v>46077</v>
      </c>
      <c r="R137" s="44">
        <v>40</v>
      </c>
      <c r="S137" s="46" t="s">
        <v>33</v>
      </c>
      <c r="T137" s="30" t="s">
        <v>234</v>
      </c>
      <c r="U137" s="39">
        <f>SUM(R137)</f>
        <v>40</v>
      </c>
      <c r="XFA137" s="66"/>
      <c r="XFB137" s="66"/>
      <c r="XFC137" s="66"/>
    </row>
    <row r="138" spans="1:21 16381:16383" s="40" customFormat="1" ht="39.950000000000003" customHeight="1" thickBot="1" x14ac:dyDescent="0.35">
      <c r="A138" s="30">
        <f t="array" ref="A138">IF(B138&lt;&gt;"",COUNTIF($B$19:B138,"&lt;&gt;"),"")</f>
        <v>97</v>
      </c>
      <c r="B138" s="41">
        <v>247</v>
      </c>
      <c r="C138" s="42" t="s">
        <v>45</v>
      </c>
      <c r="D138" s="43">
        <v>5852</v>
      </c>
      <c r="E138" s="42" t="s">
        <v>289</v>
      </c>
      <c r="F138" s="49" t="s">
        <v>222</v>
      </c>
      <c r="G138" s="36" t="s">
        <v>290</v>
      </c>
      <c r="H138" s="44"/>
      <c r="I138" s="44"/>
      <c r="J138" s="44"/>
      <c r="K138" s="44" t="s">
        <v>231</v>
      </c>
      <c r="L138" s="44" t="s">
        <v>231</v>
      </c>
      <c r="M138" s="44" t="s">
        <v>231</v>
      </c>
      <c r="N138" s="36" t="s">
        <v>1537</v>
      </c>
      <c r="O138" s="36" t="s">
        <v>233</v>
      </c>
      <c r="P138" s="45">
        <v>46084</v>
      </c>
      <c r="Q138" s="45">
        <v>46084</v>
      </c>
      <c r="R138" s="44">
        <v>40</v>
      </c>
      <c r="S138" s="46" t="s">
        <v>37</v>
      </c>
      <c r="T138" s="30" t="s">
        <v>234</v>
      </c>
      <c r="U138" s="39">
        <f t="shared" ref="U138:U144" si="13">SUM(R138:R138)</f>
        <v>40</v>
      </c>
    </row>
    <row r="139" spans="1:21 16381:16383" s="40" customFormat="1" ht="39.950000000000003" customHeight="1" thickBot="1" x14ac:dyDescent="0.35">
      <c r="A139" s="30">
        <f t="array" ref="A139">IF(B139&lt;&gt;"",COUNTIF($B$19:B139,"&lt;&gt;"),"")</f>
        <v>98</v>
      </c>
      <c r="B139" s="41">
        <v>248</v>
      </c>
      <c r="C139" s="42" t="s">
        <v>291</v>
      </c>
      <c r="D139" s="43">
        <v>20548</v>
      </c>
      <c r="E139" s="42" t="s">
        <v>292</v>
      </c>
      <c r="F139" s="49" t="s">
        <v>222</v>
      </c>
      <c r="G139" s="36" t="s">
        <v>293</v>
      </c>
      <c r="H139" s="44"/>
      <c r="I139" s="44"/>
      <c r="J139" s="44"/>
      <c r="K139" s="44"/>
      <c r="L139" s="44"/>
      <c r="M139" s="44"/>
      <c r="N139" s="36"/>
      <c r="O139" s="36"/>
      <c r="P139" s="45"/>
      <c r="Q139" s="45"/>
      <c r="R139" s="44"/>
      <c r="S139" s="46" t="s">
        <v>37</v>
      </c>
      <c r="T139" s="30" t="str">
        <f>IFERROR(VLOOKUP(O139, '[1]CURSOS 2025'!A:B, 2, FALSE), "")</f>
        <v/>
      </c>
      <c r="U139" s="39">
        <f t="shared" si="13"/>
        <v>0</v>
      </c>
    </row>
    <row r="140" spans="1:21 16381:16383" s="40" customFormat="1" ht="39.950000000000003" customHeight="1" thickBot="1" x14ac:dyDescent="0.35">
      <c r="A140" s="30">
        <f t="array" ref="A140">IF(B140&lt;&gt;"",COUNTIF($B$19:B140,"&lt;&gt;"),"")</f>
        <v>99</v>
      </c>
      <c r="B140" s="41">
        <v>248</v>
      </c>
      <c r="C140" s="42" t="s">
        <v>294</v>
      </c>
      <c r="D140" s="43">
        <v>20241</v>
      </c>
      <c r="E140" s="42" t="s">
        <v>295</v>
      </c>
      <c r="F140" s="49" t="s">
        <v>222</v>
      </c>
      <c r="G140" s="36" t="s">
        <v>296</v>
      </c>
      <c r="H140" s="44"/>
      <c r="I140" s="44"/>
      <c r="J140" s="44"/>
      <c r="K140" s="44"/>
      <c r="L140" s="44"/>
      <c r="M140" s="44"/>
      <c r="N140" s="36"/>
      <c r="O140" s="36"/>
      <c r="P140" s="45"/>
      <c r="Q140" s="45"/>
      <c r="R140" s="44"/>
      <c r="S140" s="46" t="s">
        <v>33</v>
      </c>
      <c r="T140" s="30" t="str">
        <f>IFERROR(VLOOKUP(O140, '[1]CURSOS 2025'!A:B, 2, FALSE), "")</f>
        <v/>
      </c>
      <c r="U140" s="39">
        <f t="shared" si="13"/>
        <v>0</v>
      </c>
    </row>
    <row r="141" spans="1:21 16381:16383" s="40" customFormat="1" ht="39.75" customHeight="1" thickBot="1" x14ac:dyDescent="0.35">
      <c r="A141" s="30">
        <f t="array" ref="A141">IF(B141&lt;&gt;"",COUNTIF($B$19:B141,"&lt;&gt;"),"")</f>
        <v>100</v>
      </c>
      <c r="B141" s="41">
        <v>248</v>
      </c>
      <c r="C141" s="42" t="s">
        <v>294</v>
      </c>
      <c r="D141" s="43">
        <v>20306</v>
      </c>
      <c r="E141" s="42" t="s">
        <v>297</v>
      </c>
      <c r="F141" s="49" t="s">
        <v>222</v>
      </c>
      <c r="G141" s="36" t="s">
        <v>298</v>
      </c>
      <c r="H141" s="44"/>
      <c r="I141" s="44"/>
      <c r="J141" s="44"/>
      <c r="K141" s="44"/>
      <c r="L141" s="44"/>
      <c r="M141" s="44"/>
      <c r="N141" s="36"/>
      <c r="O141" s="36"/>
      <c r="P141" s="45"/>
      <c r="Q141" s="45"/>
      <c r="R141" s="44"/>
      <c r="S141" s="46" t="s">
        <v>37</v>
      </c>
      <c r="T141" s="30" t="str">
        <f>IFERROR(VLOOKUP(O141, '[1]CURSOS 2025'!A:B, 2, FALSE), "")</f>
        <v/>
      </c>
      <c r="U141" s="39">
        <f t="shared" si="13"/>
        <v>0</v>
      </c>
    </row>
    <row r="142" spans="1:21 16381:16383" s="40" customFormat="1" ht="39.950000000000003" customHeight="1" thickBot="1" x14ac:dyDescent="0.35">
      <c r="A142" s="30">
        <f t="array" ref="A142">IF(B142&lt;&gt;"",COUNTIF($B$19:B142,"&lt;&gt;"),"")</f>
        <v>101</v>
      </c>
      <c r="B142" s="41">
        <v>248</v>
      </c>
      <c r="C142" s="42" t="s">
        <v>256</v>
      </c>
      <c r="D142" s="43">
        <v>20440</v>
      </c>
      <c r="E142" s="42" t="s">
        <v>299</v>
      </c>
      <c r="F142" s="49" t="s">
        <v>222</v>
      </c>
      <c r="G142" s="36" t="s">
        <v>300</v>
      </c>
      <c r="H142" s="44"/>
      <c r="I142" s="44"/>
      <c r="J142" s="44"/>
      <c r="K142" s="44" t="s">
        <v>231</v>
      </c>
      <c r="L142" s="44" t="s">
        <v>231</v>
      </c>
      <c r="M142" s="44" t="s">
        <v>231</v>
      </c>
      <c r="N142" s="36" t="s">
        <v>1537</v>
      </c>
      <c r="O142" s="36" t="s">
        <v>233</v>
      </c>
      <c r="P142" s="45">
        <v>46084</v>
      </c>
      <c r="Q142" s="45">
        <v>46084</v>
      </c>
      <c r="R142" s="44">
        <v>40</v>
      </c>
      <c r="S142" s="46" t="s">
        <v>33</v>
      </c>
      <c r="T142" s="30" t="s">
        <v>234</v>
      </c>
      <c r="U142" s="39">
        <f t="shared" si="13"/>
        <v>40</v>
      </c>
    </row>
    <row r="143" spans="1:21 16381:16383" s="40" customFormat="1" ht="39.950000000000003" customHeight="1" thickBot="1" x14ac:dyDescent="0.35">
      <c r="A143" s="30">
        <f t="array" ref="A143">IF(B143&lt;&gt;"",COUNTIF($B$19:B143,"&lt;&gt;"),"")</f>
        <v>102</v>
      </c>
      <c r="B143" s="41">
        <v>248</v>
      </c>
      <c r="C143" s="42" t="s">
        <v>256</v>
      </c>
      <c r="D143" s="43">
        <v>20869</v>
      </c>
      <c r="E143" s="42" t="s">
        <v>301</v>
      </c>
      <c r="F143" s="49" t="s">
        <v>222</v>
      </c>
      <c r="G143" s="36" t="s">
        <v>302</v>
      </c>
      <c r="H143" s="44"/>
      <c r="I143" s="44"/>
      <c r="J143" s="44"/>
      <c r="K143" s="44" t="s">
        <v>231</v>
      </c>
      <c r="L143" s="44" t="s">
        <v>231</v>
      </c>
      <c r="M143" s="44" t="s">
        <v>231</v>
      </c>
      <c r="N143" s="36" t="s">
        <v>1537</v>
      </c>
      <c r="O143" s="36" t="s">
        <v>233</v>
      </c>
      <c r="P143" s="45">
        <v>46085</v>
      </c>
      <c r="Q143" s="45">
        <v>46085</v>
      </c>
      <c r="R143" s="44">
        <v>40</v>
      </c>
      <c r="S143" s="46" t="s">
        <v>37</v>
      </c>
      <c r="T143" s="30" t="s">
        <v>234</v>
      </c>
      <c r="U143" s="39">
        <f t="shared" si="13"/>
        <v>40</v>
      </c>
    </row>
    <row r="144" spans="1:21 16381:16383" s="40" customFormat="1" ht="39.950000000000003" customHeight="1" thickBot="1" x14ac:dyDescent="0.35">
      <c r="A144" s="30">
        <f t="array" ref="A144">IF(B144&lt;&gt;"",COUNTIF($B$19:B144,"&lt;&gt;"),"")</f>
        <v>103</v>
      </c>
      <c r="B144" s="41">
        <v>248</v>
      </c>
      <c r="C144" s="42" t="s">
        <v>256</v>
      </c>
      <c r="D144" s="43">
        <v>205499</v>
      </c>
      <c r="E144" s="42" t="s">
        <v>303</v>
      </c>
      <c r="F144" s="49" t="s">
        <v>222</v>
      </c>
      <c r="G144" s="36" t="s">
        <v>304</v>
      </c>
      <c r="H144" s="44"/>
      <c r="I144" s="44"/>
      <c r="J144" s="44"/>
      <c r="K144" s="44" t="s">
        <v>231</v>
      </c>
      <c r="L144" s="44" t="s">
        <v>231</v>
      </c>
      <c r="M144" s="44" t="s">
        <v>231</v>
      </c>
      <c r="N144" s="36" t="s">
        <v>1537</v>
      </c>
      <c r="O144" s="36" t="s">
        <v>233</v>
      </c>
      <c r="P144" s="45">
        <v>46105</v>
      </c>
      <c r="Q144" s="45">
        <v>46105</v>
      </c>
      <c r="R144" s="44">
        <v>40</v>
      </c>
      <c r="S144" s="46" t="s">
        <v>37</v>
      </c>
      <c r="T144" s="30" t="s">
        <v>234</v>
      </c>
      <c r="U144" s="39">
        <f t="shared" si="13"/>
        <v>40</v>
      </c>
    </row>
    <row r="145" spans="1:21" s="40" customFormat="1" ht="39.950000000000003" customHeight="1" thickBot="1" x14ac:dyDescent="0.35">
      <c r="A145" s="30">
        <f t="array" ref="A145">IF(B145&lt;&gt;"",COUNTIF($B$19:B145,"&lt;&gt;"),"")</f>
        <v>104</v>
      </c>
      <c r="B145" s="41">
        <v>248</v>
      </c>
      <c r="C145" s="42" t="s">
        <v>256</v>
      </c>
      <c r="D145" s="43">
        <v>206047</v>
      </c>
      <c r="E145" s="42" t="s">
        <v>305</v>
      </c>
      <c r="F145" s="49" t="s">
        <v>222</v>
      </c>
      <c r="G145" s="36" t="s">
        <v>306</v>
      </c>
      <c r="H145" s="44"/>
      <c r="I145" s="44"/>
      <c r="J145" s="44"/>
      <c r="K145" s="44"/>
      <c r="L145" s="44"/>
      <c r="M145" s="44"/>
      <c r="N145" s="36"/>
      <c r="O145" s="36"/>
      <c r="P145" s="45"/>
      <c r="Q145" s="45"/>
      <c r="R145" s="44"/>
      <c r="S145" s="44" t="s">
        <v>37</v>
      </c>
      <c r="T145" s="30" t="str">
        <f>IFERROR(VLOOKUP(O145, '[1]CURSOS 2025'!A:B, 2, FALSE), "")</f>
        <v/>
      </c>
      <c r="U145" s="48">
        <f t="shared" ref="U145:U147" si="14">SUM(R145)</f>
        <v>0</v>
      </c>
    </row>
    <row r="146" spans="1:21" s="40" customFormat="1" ht="30.75" customHeight="1" thickBot="1" x14ac:dyDescent="0.35">
      <c r="A146" s="30">
        <f t="array" ref="A146">IF(B146&lt;&gt;"",COUNTIF($B$19:B146,"&lt;&gt;"),"")</f>
        <v>105</v>
      </c>
      <c r="B146" s="41">
        <v>248</v>
      </c>
      <c r="C146" s="42" t="s">
        <v>256</v>
      </c>
      <c r="D146" s="43">
        <v>206095</v>
      </c>
      <c r="E146" s="42" t="s">
        <v>307</v>
      </c>
      <c r="F146" s="49" t="s">
        <v>222</v>
      </c>
      <c r="G146" s="36" t="s">
        <v>308</v>
      </c>
      <c r="H146" s="44"/>
      <c r="I146" s="44"/>
      <c r="J146" s="44"/>
      <c r="K146" s="44"/>
      <c r="L146" s="44"/>
      <c r="M146" s="44"/>
      <c r="N146" s="36"/>
      <c r="O146" s="36"/>
      <c r="P146" s="45"/>
      <c r="Q146" s="45"/>
      <c r="R146" s="44"/>
      <c r="S146" s="44" t="s">
        <v>33</v>
      </c>
      <c r="T146" s="30" t="str">
        <f>IFERROR(VLOOKUP(O146, '[1]CURSOS 2025'!A:B, 2, FALSE), "")</f>
        <v/>
      </c>
      <c r="U146" s="48">
        <f t="shared" si="14"/>
        <v>0</v>
      </c>
    </row>
    <row r="147" spans="1:21" s="40" customFormat="1" ht="70.5" customHeight="1" thickBot="1" x14ac:dyDescent="0.35">
      <c r="A147" s="30">
        <f t="array" ref="A147">IF(B147&lt;&gt;"",COUNTIF($B$19:B147,"&lt;&gt;"),"")</f>
        <v>106</v>
      </c>
      <c r="B147" s="41">
        <v>248</v>
      </c>
      <c r="C147" s="42" t="s">
        <v>256</v>
      </c>
      <c r="D147" s="43">
        <v>205476</v>
      </c>
      <c r="E147" s="42" t="s">
        <v>309</v>
      </c>
      <c r="F147" s="49" t="s">
        <v>222</v>
      </c>
      <c r="G147" s="36" t="s">
        <v>310</v>
      </c>
      <c r="H147" s="44"/>
      <c r="I147" s="44"/>
      <c r="J147" s="44"/>
      <c r="K147" s="44"/>
      <c r="L147" s="44"/>
      <c r="M147" s="44"/>
      <c r="N147" s="36"/>
      <c r="O147" s="36"/>
      <c r="P147" s="45"/>
      <c r="Q147" s="45"/>
      <c r="R147" s="44"/>
      <c r="S147" s="44" t="s">
        <v>37</v>
      </c>
      <c r="T147" s="30" t="str">
        <f>IFERROR(VLOOKUP(O147, '[1]CURSOS 2025'!A:B, 2, FALSE), "")</f>
        <v/>
      </c>
      <c r="U147" s="48">
        <f t="shared" si="14"/>
        <v>0</v>
      </c>
    </row>
    <row r="148" spans="1:21" s="40" customFormat="1" ht="39.950000000000003" customHeight="1" thickBot="1" x14ac:dyDescent="0.35">
      <c r="A148" s="30">
        <f t="array" ref="A148">IF(B148&lt;&gt;"",COUNTIF($B$19:B148,"&lt;&gt;"),"")</f>
        <v>107</v>
      </c>
      <c r="B148" s="41">
        <v>248</v>
      </c>
      <c r="C148" s="42" t="s">
        <v>256</v>
      </c>
      <c r="D148" s="43">
        <v>205984</v>
      </c>
      <c r="E148" s="42" t="s">
        <v>311</v>
      </c>
      <c r="F148" s="49" t="s">
        <v>222</v>
      </c>
      <c r="G148" s="36" t="s">
        <v>312</v>
      </c>
      <c r="H148" s="44"/>
      <c r="I148" s="44"/>
      <c r="J148" s="44"/>
      <c r="K148" s="44"/>
      <c r="L148" s="44"/>
      <c r="M148" s="44"/>
      <c r="N148" s="36"/>
      <c r="O148" s="36"/>
      <c r="P148" s="45"/>
      <c r="Q148" s="45"/>
      <c r="R148" s="44"/>
      <c r="S148" s="46" t="s">
        <v>37</v>
      </c>
      <c r="T148" s="30" t="str">
        <f>IFERROR(VLOOKUP(O148, '[1]CURSOS 2025'!A:B, 2, FALSE), "")</f>
        <v/>
      </c>
      <c r="U148" s="39">
        <f>SUM(R148:R148)</f>
        <v>0</v>
      </c>
    </row>
    <row r="149" spans="1:21" s="40" customFormat="1" ht="39.950000000000003" customHeight="1" thickBot="1" x14ac:dyDescent="0.35">
      <c r="A149" s="30">
        <f t="array" ref="A149">IF(B149&lt;&gt;"",COUNTIF($B$19:B149,"&lt;&gt;"),"")</f>
        <v>108</v>
      </c>
      <c r="B149" s="41">
        <v>248</v>
      </c>
      <c r="C149" s="42" t="s">
        <v>256</v>
      </c>
      <c r="D149" s="43">
        <v>206000</v>
      </c>
      <c r="E149" s="42" t="s">
        <v>313</v>
      </c>
      <c r="F149" s="49" t="s">
        <v>222</v>
      </c>
      <c r="G149" s="36" t="s">
        <v>314</v>
      </c>
      <c r="H149" s="44"/>
      <c r="I149" s="44"/>
      <c r="J149" s="44"/>
      <c r="K149" s="44"/>
      <c r="L149" s="44"/>
      <c r="M149" s="44"/>
      <c r="N149" s="36"/>
      <c r="O149" s="36"/>
      <c r="P149" s="45"/>
      <c r="Q149" s="45"/>
      <c r="R149" s="44"/>
      <c r="S149" s="46" t="s">
        <v>33</v>
      </c>
      <c r="T149" s="30" t="str">
        <f>IFERROR(VLOOKUP(O149, '[1]CURSOS 2025'!A:B, 2, FALSE), "")</f>
        <v/>
      </c>
      <c r="U149" s="39">
        <f>SUM(R149)</f>
        <v>0</v>
      </c>
    </row>
    <row r="150" spans="1:21" s="40" customFormat="1" ht="30.75" customHeight="1" thickBot="1" x14ac:dyDescent="0.35">
      <c r="A150" s="30">
        <f t="array" ref="A150">IF(B150&lt;&gt;"",COUNTIF($B$19:B150,"&lt;&gt;"),"")</f>
        <v>109</v>
      </c>
      <c r="B150" s="41">
        <v>248</v>
      </c>
      <c r="C150" s="42" t="s">
        <v>256</v>
      </c>
      <c r="D150" s="43">
        <v>205905</v>
      </c>
      <c r="E150" s="42" t="s">
        <v>315</v>
      </c>
      <c r="F150" s="49" t="s">
        <v>222</v>
      </c>
      <c r="G150" s="36" t="s">
        <v>316</v>
      </c>
      <c r="H150" s="44"/>
      <c r="I150" s="44"/>
      <c r="J150" s="44"/>
      <c r="K150" s="44"/>
      <c r="L150" s="44"/>
      <c r="M150" s="44"/>
      <c r="N150" s="36"/>
      <c r="O150" s="36"/>
      <c r="P150" s="45"/>
      <c r="Q150" s="45"/>
      <c r="R150" s="44"/>
      <c r="S150" s="44" t="s">
        <v>37</v>
      </c>
      <c r="T150" s="30" t="str">
        <f>IFERROR(VLOOKUP(O150, '[1]CURSOS 2025'!A:B, 2, FALSE), "")</f>
        <v/>
      </c>
      <c r="U150" s="48">
        <f t="shared" ref="U150:U152" si="15">SUM(R150)</f>
        <v>0</v>
      </c>
    </row>
    <row r="151" spans="1:21" s="40" customFormat="1" ht="30.75" customHeight="1" thickBot="1" x14ac:dyDescent="0.35">
      <c r="A151" s="30">
        <f t="array" ref="A151">IF(B151&lt;&gt;"",COUNTIF($B$19:B151,"&lt;&gt;"),"")</f>
        <v>110</v>
      </c>
      <c r="B151" s="41">
        <v>248</v>
      </c>
      <c r="C151" s="42" t="s">
        <v>256</v>
      </c>
      <c r="D151" s="43">
        <v>206012</v>
      </c>
      <c r="E151" s="42" t="s">
        <v>317</v>
      </c>
      <c r="F151" s="49" t="s">
        <v>222</v>
      </c>
      <c r="G151" s="36" t="s">
        <v>318</v>
      </c>
      <c r="H151" s="44"/>
      <c r="I151" s="44"/>
      <c r="J151" s="44"/>
      <c r="K151" s="44" t="s">
        <v>231</v>
      </c>
      <c r="L151" s="44" t="s">
        <v>231</v>
      </c>
      <c r="M151" s="44" t="s">
        <v>231</v>
      </c>
      <c r="N151" s="36" t="s">
        <v>1537</v>
      </c>
      <c r="O151" s="36" t="s">
        <v>1710</v>
      </c>
      <c r="P151" s="45">
        <v>46112</v>
      </c>
      <c r="Q151" s="45">
        <v>46112</v>
      </c>
      <c r="R151" s="44">
        <v>40</v>
      </c>
      <c r="S151" s="44" t="s">
        <v>37</v>
      </c>
      <c r="T151" s="30" t="s">
        <v>234</v>
      </c>
      <c r="U151" s="48">
        <f t="shared" si="15"/>
        <v>40</v>
      </c>
    </row>
    <row r="152" spans="1:21" s="40" customFormat="1" ht="30.75" customHeight="1" thickBot="1" x14ac:dyDescent="0.35">
      <c r="A152" s="30">
        <f t="array" ref="A152">IF(B152&lt;&gt;"",COUNTIF($B$19:B152,"&lt;&gt;"),"")</f>
        <v>111</v>
      </c>
      <c r="B152" s="41">
        <v>248</v>
      </c>
      <c r="C152" s="42" t="s">
        <v>256</v>
      </c>
      <c r="D152" s="43">
        <v>206109</v>
      </c>
      <c r="E152" s="42" t="s">
        <v>319</v>
      </c>
      <c r="F152" s="49" t="s">
        <v>222</v>
      </c>
      <c r="G152" s="36" t="s">
        <v>320</v>
      </c>
      <c r="H152" s="44"/>
      <c r="I152" s="44"/>
      <c r="J152" s="44"/>
      <c r="K152" s="44"/>
      <c r="L152" s="44"/>
      <c r="M152" s="44"/>
      <c r="N152" s="36"/>
      <c r="O152" s="36"/>
      <c r="P152" s="45"/>
      <c r="Q152" s="45"/>
      <c r="R152" s="44"/>
      <c r="S152" s="44" t="s">
        <v>33</v>
      </c>
      <c r="T152" s="30" t="str">
        <f>IFERROR(VLOOKUP(O152, '[1]CURSOS 2025'!A:B, 2, FALSE), "")</f>
        <v/>
      </c>
      <c r="U152" s="48">
        <f t="shared" si="15"/>
        <v>0</v>
      </c>
    </row>
    <row r="153" spans="1:21" s="40" customFormat="1" ht="39.950000000000003" customHeight="1" thickBot="1" x14ac:dyDescent="0.35">
      <c r="A153" s="30">
        <f t="array" ref="A153">IF(B153&lt;&gt;"",COUNTIF($B$19:B153,"&lt;&gt;"),"")</f>
        <v>112</v>
      </c>
      <c r="B153" s="41">
        <v>248</v>
      </c>
      <c r="C153" s="42" t="s">
        <v>256</v>
      </c>
      <c r="D153" s="43">
        <v>206040</v>
      </c>
      <c r="E153" s="42" t="s">
        <v>321</v>
      </c>
      <c r="F153" s="49" t="s">
        <v>222</v>
      </c>
      <c r="G153" s="36" t="s">
        <v>322</v>
      </c>
      <c r="H153" s="44"/>
      <c r="I153" s="44"/>
      <c r="J153" s="44"/>
      <c r="K153" s="44"/>
      <c r="L153" s="44"/>
      <c r="M153" s="44"/>
      <c r="N153" s="36"/>
      <c r="O153" s="36"/>
      <c r="P153" s="45"/>
      <c r="Q153" s="45"/>
      <c r="R153" s="44"/>
      <c r="S153" s="46" t="s">
        <v>37</v>
      </c>
      <c r="T153" s="30" t="str">
        <f>IFERROR(VLOOKUP(O153, '[1]CURSOS 2025'!A:B, 2, FALSE), "")</f>
        <v/>
      </c>
      <c r="U153" s="39">
        <f t="shared" ref="U153:U157" si="16">SUM(R153:R153)</f>
        <v>0</v>
      </c>
    </row>
    <row r="154" spans="1:21" s="40" customFormat="1" ht="39.950000000000003" customHeight="1" thickBot="1" x14ac:dyDescent="0.35">
      <c r="A154" s="30">
        <f t="array" ref="A154">IF(B154&lt;&gt;"",COUNTIF($B$19:B154,"&lt;&gt;"),"")</f>
        <v>113</v>
      </c>
      <c r="B154" s="41">
        <v>248</v>
      </c>
      <c r="C154" s="42" t="s">
        <v>256</v>
      </c>
      <c r="D154" s="43">
        <v>206187</v>
      </c>
      <c r="E154" s="42" t="s">
        <v>323</v>
      </c>
      <c r="F154" s="49" t="s">
        <v>222</v>
      </c>
      <c r="G154" s="36" t="s">
        <v>324</v>
      </c>
      <c r="H154" s="44"/>
      <c r="I154" s="44"/>
      <c r="J154" s="44"/>
      <c r="K154" s="44"/>
      <c r="L154" s="44"/>
      <c r="M154" s="44"/>
      <c r="N154" s="36"/>
      <c r="O154" s="36"/>
      <c r="P154" s="45"/>
      <c r="Q154" s="45"/>
      <c r="R154" s="44"/>
      <c r="S154" s="46" t="s">
        <v>37</v>
      </c>
      <c r="T154" s="30" t="str">
        <f>IFERROR(VLOOKUP(O154, '[1]CURSOS 2025'!A:B, 2, FALSE), "")</f>
        <v/>
      </c>
      <c r="U154" s="39">
        <f t="shared" si="16"/>
        <v>0</v>
      </c>
    </row>
    <row r="155" spans="1:21" s="40" customFormat="1" ht="39.950000000000003" customHeight="1" thickBot="1" x14ac:dyDescent="0.35">
      <c r="A155" s="30">
        <f t="array" ref="A155">IF(B155&lt;&gt;"",COUNTIF($B$19:B155,"&lt;&gt;"),"")</f>
        <v>114</v>
      </c>
      <c r="B155" s="41">
        <v>248</v>
      </c>
      <c r="C155" s="42" t="s">
        <v>256</v>
      </c>
      <c r="D155" s="43">
        <v>206111</v>
      </c>
      <c r="E155" s="42" t="s">
        <v>325</v>
      </c>
      <c r="F155" s="49" t="s">
        <v>222</v>
      </c>
      <c r="G155" s="36" t="s">
        <v>326</v>
      </c>
      <c r="H155" s="44"/>
      <c r="I155" s="44"/>
      <c r="J155" s="44"/>
      <c r="K155" s="44"/>
      <c r="L155" s="44"/>
      <c r="M155" s="44"/>
      <c r="N155" s="36"/>
      <c r="O155" s="36"/>
      <c r="P155" s="45"/>
      <c r="Q155" s="45"/>
      <c r="R155" s="44"/>
      <c r="S155" s="46" t="s">
        <v>37</v>
      </c>
      <c r="T155" s="30" t="str">
        <f>IFERROR(VLOOKUP(O155, '[1]CURSOS 2025'!A:B, 2, FALSE), "")</f>
        <v/>
      </c>
      <c r="U155" s="39">
        <f t="shared" si="16"/>
        <v>0</v>
      </c>
    </row>
    <row r="156" spans="1:21" s="40" customFormat="1" ht="39.950000000000003" customHeight="1" thickBot="1" x14ac:dyDescent="0.35">
      <c r="A156" s="30">
        <f t="array" ref="A156">IF(B156&lt;&gt;"",COUNTIF($B$19:B156,"&lt;&gt;"),"")</f>
        <v>115</v>
      </c>
      <c r="B156" s="41">
        <v>248</v>
      </c>
      <c r="C156" s="42" t="s">
        <v>256</v>
      </c>
      <c r="D156" s="43">
        <v>205899</v>
      </c>
      <c r="E156" s="42" t="s">
        <v>327</v>
      </c>
      <c r="F156" s="49" t="s">
        <v>222</v>
      </c>
      <c r="G156" s="36" t="s">
        <v>328</v>
      </c>
      <c r="H156" s="44"/>
      <c r="I156" s="44"/>
      <c r="J156" s="44"/>
      <c r="K156" s="44"/>
      <c r="L156" s="44"/>
      <c r="M156" s="44"/>
      <c r="N156" s="36"/>
      <c r="O156" s="36"/>
      <c r="P156" s="45"/>
      <c r="Q156" s="45"/>
      <c r="R156" s="44"/>
      <c r="S156" s="46" t="s">
        <v>33</v>
      </c>
      <c r="T156" s="30" t="str">
        <f>IFERROR(VLOOKUP(O156, '[1]CURSOS 2025'!A:B, 2, FALSE), "")</f>
        <v/>
      </c>
      <c r="U156" s="39">
        <f t="shared" si="16"/>
        <v>0</v>
      </c>
    </row>
    <row r="157" spans="1:21" s="40" customFormat="1" ht="30.75" customHeight="1" thickBot="1" x14ac:dyDescent="0.35">
      <c r="A157" s="30">
        <f t="array" ref="A157">IF(B157&lt;&gt;"",COUNTIF($B$19:B157,"&lt;&gt;"),"")</f>
        <v>116</v>
      </c>
      <c r="B157" s="41">
        <v>248</v>
      </c>
      <c r="C157" s="42" t="s">
        <v>256</v>
      </c>
      <c r="D157" s="43">
        <v>20940</v>
      </c>
      <c r="E157" s="42" t="s">
        <v>329</v>
      </c>
      <c r="F157" s="49" t="s">
        <v>222</v>
      </c>
      <c r="G157" s="36" t="s">
        <v>330</v>
      </c>
      <c r="H157" s="44"/>
      <c r="I157" s="44"/>
      <c r="J157" s="44"/>
      <c r="K157" s="44"/>
      <c r="L157" s="44"/>
      <c r="M157" s="44"/>
      <c r="N157" s="36"/>
      <c r="O157" s="36"/>
      <c r="P157" s="45"/>
      <c r="Q157" s="45"/>
      <c r="R157" s="44"/>
      <c r="S157" s="46" t="s">
        <v>37</v>
      </c>
      <c r="T157" s="30" t="str">
        <f>IFERROR(VLOOKUP(O157, '[1]CURSOS 2025'!A:B, 2, FALSE), "")</f>
        <v/>
      </c>
      <c r="U157" s="39">
        <f t="shared" si="16"/>
        <v>0</v>
      </c>
    </row>
    <row r="158" spans="1:21" s="40" customFormat="1" ht="30.75" customHeight="1" thickBot="1" x14ac:dyDescent="0.35">
      <c r="A158" s="30">
        <f t="array" ref="A158">IF(B158&lt;&gt;"",COUNTIF($B$19:B158,"&lt;&gt;"),"")</f>
        <v>117</v>
      </c>
      <c r="B158" s="41">
        <v>248</v>
      </c>
      <c r="C158" s="42" t="s">
        <v>256</v>
      </c>
      <c r="D158" s="43">
        <v>205978</v>
      </c>
      <c r="E158" s="42" t="s">
        <v>331</v>
      </c>
      <c r="F158" s="49" t="s">
        <v>222</v>
      </c>
      <c r="G158" s="36" t="s">
        <v>332</v>
      </c>
      <c r="H158" s="44"/>
      <c r="I158" s="44"/>
      <c r="J158" s="44"/>
      <c r="K158" s="44"/>
      <c r="L158" s="44"/>
      <c r="M158" s="44"/>
      <c r="N158" s="36"/>
      <c r="O158" s="36"/>
      <c r="P158" s="45"/>
      <c r="Q158" s="45"/>
      <c r="R158" s="44"/>
      <c r="S158" s="44" t="s">
        <v>37</v>
      </c>
      <c r="T158" s="30" t="str">
        <f>IFERROR(VLOOKUP(O158, '[1]CURSOS 2025'!A:B, 2, FALSE), "")</f>
        <v/>
      </c>
      <c r="U158" s="48">
        <f t="shared" ref="U158:U160" si="17">SUM(R158)</f>
        <v>0</v>
      </c>
    </row>
    <row r="159" spans="1:21" s="40" customFormat="1" ht="30.75" customHeight="1" thickBot="1" x14ac:dyDescent="0.35">
      <c r="A159" s="30">
        <f t="array" ref="A159">IF(B159&lt;&gt;"",COUNTIF($B$19:B159,"&lt;&gt;"),"")</f>
        <v>118</v>
      </c>
      <c r="B159" s="41">
        <v>248</v>
      </c>
      <c r="C159" s="42" t="s">
        <v>294</v>
      </c>
      <c r="D159" s="43">
        <v>20162</v>
      </c>
      <c r="E159" s="42" t="s">
        <v>333</v>
      </c>
      <c r="F159" s="49" t="s">
        <v>222</v>
      </c>
      <c r="G159" s="36" t="s">
        <v>334</v>
      </c>
      <c r="H159" s="44"/>
      <c r="I159" s="44"/>
      <c r="J159" s="44"/>
      <c r="K159" s="44"/>
      <c r="L159" s="44"/>
      <c r="M159" s="44"/>
      <c r="N159" s="36"/>
      <c r="O159" s="36"/>
      <c r="P159" s="45"/>
      <c r="Q159" s="45"/>
      <c r="R159" s="44"/>
      <c r="S159" s="44" t="s">
        <v>33</v>
      </c>
      <c r="T159" s="30" t="str">
        <f>IFERROR(VLOOKUP(O159, '[1]CURSOS 2025'!A:B, 2, FALSE), "")</f>
        <v/>
      </c>
      <c r="U159" s="48">
        <f t="shared" si="17"/>
        <v>0</v>
      </c>
    </row>
    <row r="160" spans="1:21" s="40" customFormat="1" ht="62.25" customHeight="1" thickBot="1" x14ac:dyDescent="0.35">
      <c r="A160" s="30">
        <f t="array" ref="A160">IF(B160&lt;&gt;"",COUNTIF($B$19:B160,"&lt;&gt;"),"")</f>
        <v>119</v>
      </c>
      <c r="B160" s="41">
        <v>248</v>
      </c>
      <c r="C160" s="42" t="s">
        <v>294</v>
      </c>
      <c r="D160" s="43">
        <v>20192</v>
      </c>
      <c r="E160" s="42" t="s">
        <v>335</v>
      </c>
      <c r="F160" s="49" t="s">
        <v>222</v>
      </c>
      <c r="G160" s="36" t="s">
        <v>336</v>
      </c>
      <c r="H160" s="44"/>
      <c r="I160" s="44"/>
      <c r="J160" s="44"/>
      <c r="K160" s="216" t="s">
        <v>231</v>
      </c>
      <c r="L160" s="214" t="s">
        <v>231</v>
      </c>
      <c r="M160" s="214" t="s">
        <v>231</v>
      </c>
      <c r="N160" s="217" t="s">
        <v>1537</v>
      </c>
      <c r="O160" s="217" t="s">
        <v>1710</v>
      </c>
      <c r="P160" s="213">
        <v>46112</v>
      </c>
      <c r="Q160" s="213">
        <v>46112</v>
      </c>
      <c r="R160" s="214">
        <v>40</v>
      </c>
      <c r="S160" s="44" t="s">
        <v>37</v>
      </c>
      <c r="T160" s="30" t="s">
        <v>234</v>
      </c>
      <c r="U160" s="48">
        <f t="shared" si="17"/>
        <v>40</v>
      </c>
    </row>
    <row r="161" spans="1:21" s="40" customFormat="1" ht="39.950000000000003" customHeight="1" thickBot="1" x14ac:dyDescent="0.35">
      <c r="A161" s="30">
        <f t="array" ref="A161">IF(B161&lt;&gt;"",COUNTIF($B$19:B161,"&lt;&gt;"),"")</f>
        <v>120</v>
      </c>
      <c r="B161" s="41">
        <v>248</v>
      </c>
      <c r="C161" s="42" t="s">
        <v>256</v>
      </c>
      <c r="D161" s="43">
        <v>205828</v>
      </c>
      <c r="E161" s="42" t="s">
        <v>337</v>
      </c>
      <c r="F161" s="49" t="s">
        <v>222</v>
      </c>
      <c r="G161" s="36" t="s">
        <v>338</v>
      </c>
      <c r="H161" s="44"/>
      <c r="I161" s="44"/>
      <c r="J161" s="44"/>
      <c r="K161" s="216" t="s">
        <v>231</v>
      </c>
      <c r="L161" s="214" t="s">
        <v>231</v>
      </c>
      <c r="M161" s="214" t="s">
        <v>231</v>
      </c>
      <c r="N161" s="217" t="s">
        <v>1537</v>
      </c>
      <c r="O161" s="217" t="s">
        <v>1710</v>
      </c>
      <c r="P161" s="213">
        <v>46128</v>
      </c>
      <c r="Q161" s="213">
        <v>46128</v>
      </c>
      <c r="R161" s="214">
        <v>40</v>
      </c>
      <c r="S161" s="46" t="s">
        <v>37</v>
      </c>
      <c r="T161" s="30" t="s">
        <v>234</v>
      </c>
      <c r="U161" s="39">
        <f>SUM(R161:R161)</f>
        <v>40</v>
      </c>
    </row>
    <row r="162" spans="1:21" s="40" customFormat="1" ht="30.75" customHeight="1" thickBot="1" x14ac:dyDescent="0.35">
      <c r="A162" s="30">
        <f t="array" ref="A162">IF(B162&lt;&gt;"",COUNTIF($B$19:B162,"&lt;&gt;"),"")</f>
        <v>121</v>
      </c>
      <c r="B162" s="41">
        <v>248</v>
      </c>
      <c r="C162" s="42" t="s">
        <v>256</v>
      </c>
      <c r="D162" s="43">
        <v>205732</v>
      </c>
      <c r="E162" s="42" t="s">
        <v>339</v>
      </c>
      <c r="F162" s="49" t="s">
        <v>222</v>
      </c>
      <c r="G162" s="36" t="s">
        <v>340</v>
      </c>
      <c r="H162" s="44"/>
      <c r="I162" s="44"/>
      <c r="J162" s="44"/>
      <c r="K162" s="44"/>
      <c r="L162" s="44"/>
      <c r="M162" s="44"/>
      <c r="N162" s="36"/>
      <c r="O162" s="36"/>
      <c r="P162" s="45"/>
      <c r="Q162" s="45"/>
      <c r="R162" s="44"/>
      <c r="S162" s="44" t="s">
        <v>37</v>
      </c>
      <c r="T162" s="30" t="str">
        <f>IFERROR(VLOOKUP(O162, '[1]CURSOS 2025'!A:B, 2, FALSE), "")</f>
        <v/>
      </c>
      <c r="U162" s="48">
        <f t="shared" ref="U162" si="18">SUM(R162)</f>
        <v>0</v>
      </c>
    </row>
    <row r="163" spans="1:21" s="40" customFormat="1" ht="39.950000000000003" customHeight="1" thickBot="1" x14ac:dyDescent="0.35">
      <c r="A163" s="30">
        <f t="array" ref="A163">IF(B163&lt;&gt;"",COUNTIF($B$19:B163,"&lt;&gt;"),"")</f>
        <v>122</v>
      </c>
      <c r="B163" s="41">
        <v>248</v>
      </c>
      <c r="C163" s="42" t="s">
        <v>256</v>
      </c>
      <c r="D163" s="43" t="s">
        <v>341</v>
      </c>
      <c r="E163" s="42" t="s">
        <v>342</v>
      </c>
      <c r="F163" s="49" t="s">
        <v>222</v>
      </c>
      <c r="G163" s="36" t="s">
        <v>343</v>
      </c>
      <c r="H163" s="44"/>
      <c r="I163" s="44"/>
      <c r="J163" s="44"/>
      <c r="K163" s="44"/>
      <c r="L163" s="44"/>
      <c r="M163" s="44"/>
      <c r="N163" s="36"/>
      <c r="O163" s="36"/>
      <c r="P163" s="45"/>
      <c r="Q163" s="45"/>
      <c r="R163" s="44"/>
      <c r="S163" s="46" t="s">
        <v>33</v>
      </c>
      <c r="T163" s="30" t="str">
        <f>IFERROR(VLOOKUP(O163, '[1]CURSOS 2025'!A:B, 2, FALSE), "")</f>
        <v/>
      </c>
      <c r="U163" s="39">
        <f>SUM(R163:R163)</f>
        <v>0</v>
      </c>
    </row>
    <row r="164" spans="1:21" s="40" customFormat="1" ht="63" customHeight="1" thickBot="1" x14ac:dyDescent="0.35">
      <c r="A164" s="30">
        <f t="array" ref="A164">IF(B164&lt;&gt;"",COUNTIF($B$19:B164,"&lt;&gt;"),"")</f>
        <v>123</v>
      </c>
      <c r="B164" s="41">
        <v>248</v>
      </c>
      <c r="C164" s="42" t="s">
        <v>256</v>
      </c>
      <c r="D164" s="43">
        <v>205818</v>
      </c>
      <c r="E164" s="42" t="s">
        <v>344</v>
      </c>
      <c r="F164" s="49" t="s">
        <v>222</v>
      </c>
      <c r="G164" s="36" t="s">
        <v>345</v>
      </c>
      <c r="H164" s="44"/>
      <c r="I164" s="44"/>
      <c r="J164" s="44"/>
      <c r="K164" s="44"/>
      <c r="L164" s="44"/>
      <c r="M164" s="44"/>
      <c r="N164" s="36"/>
      <c r="O164" s="36"/>
      <c r="P164" s="45"/>
      <c r="Q164" s="45"/>
      <c r="R164" s="44"/>
      <c r="S164" s="44" t="s">
        <v>37</v>
      </c>
      <c r="T164" s="30" t="str">
        <f>IFERROR(VLOOKUP(O164, '[1]CURSOS 2025'!A:B, 2, FALSE), "")</f>
        <v/>
      </c>
      <c r="U164" s="48">
        <f t="shared" ref="U164:U165" si="19">SUM(R164)</f>
        <v>0</v>
      </c>
    </row>
    <row r="165" spans="1:21" s="40" customFormat="1" ht="39.950000000000003" customHeight="1" thickBot="1" x14ac:dyDescent="0.35">
      <c r="A165" s="30">
        <f t="array" ref="A165">IF(B165&lt;&gt;"",COUNTIF($B$19:B165,"&lt;&gt;"),"")</f>
        <v>124</v>
      </c>
      <c r="B165" s="41">
        <v>248</v>
      </c>
      <c r="C165" s="42" t="s">
        <v>256</v>
      </c>
      <c r="D165" s="43">
        <v>20328</v>
      </c>
      <c r="E165" s="42" t="s">
        <v>346</v>
      </c>
      <c r="F165" s="49" t="s">
        <v>222</v>
      </c>
      <c r="G165" s="36" t="s">
        <v>347</v>
      </c>
      <c r="H165" s="44"/>
      <c r="I165" s="44"/>
      <c r="J165" s="44"/>
      <c r="K165" s="44"/>
      <c r="L165" s="44"/>
      <c r="M165" s="44"/>
      <c r="N165" s="36"/>
      <c r="O165" s="36"/>
      <c r="P165" s="45"/>
      <c r="Q165" s="45"/>
      <c r="R165" s="44"/>
      <c r="S165" s="44" t="s">
        <v>33</v>
      </c>
      <c r="T165" s="30" t="str">
        <f>IFERROR(VLOOKUP(O165, '[1]CURSOS 2025'!A:B, 2, FALSE), "")</f>
        <v/>
      </c>
      <c r="U165" s="48">
        <f t="shared" si="19"/>
        <v>0</v>
      </c>
    </row>
    <row r="166" spans="1:21" s="40" customFormat="1" ht="39.950000000000003" customHeight="1" thickBot="1" x14ac:dyDescent="0.35">
      <c r="A166" s="30">
        <f t="array" ref="A166">IF(B166&lt;&gt;"",COUNTIF($B$19:B166,"&lt;&gt;"),"")</f>
        <v>125</v>
      </c>
      <c r="B166" s="41">
        <v>248</v>
      </c>
      <c r="C166" s="42" t="s">
        <v>256</v>
      </c>
      <c r="D166" s="43">
        <v>206026</v>
      </c>
      <c r="E166" s="42" t="s">
        <v>348</v>
      </c>
      <c r="F166" s="49" t="s">
        <v>222</v>
      </c>
      <c r="G166" s="36" t="s">
        <v>349</v>
      </c>
      <c r="H166" s="44"/>
      <c r="I166" s="44"/>
      <c r="J166" s="44"/>
      <c r="K166" s="44"/>
      <c r="L166" s="44"/>
      <c r="M166" s="44"/>
      <c r="N166" s="36"/>
      <c r="O166" s="36"/>
      <c r="P166" s="45"/>
      <c r="Q166" s="45"/>
      <c r="R166" s="44"/>
      <c r="S166" s="46" t="s">
        <v>33</v>
      </c>
      <c r="T166" s="30" t="str">
        <f>IFERROR(VLOOKUP(O166, '[1]CURSOS 2025'!A:B, 2, FALSE), "")</f>
        <v/>
      </c>
      <c r="U166" s="39">
        <f>SUM(R166:R166)</f>
        <v>0</v>
      </c>
    </row>
    <row r="167" spans="1:21" s="40" customFormat="1" ht="30.75" customHeight="1" thickBot="1" x14ac:dyDescent="0.35">
      <c r="A167" s="30">
        <f t="array" ref="A167">IF(B167&lt;&gt;"",COUNTIF($B$19:B167,"&lt;&gt;"),"")</f>
        <v>126</v>
      </c>
      <c r="B167" s="41">
        <v>248</v>
      </c>
      <c r="C167" s="42" t="s">
        <v>256</v>
      </c>
      <c r="D167" s="43">
        <v>206089</v>
      </c>
      <c r="E167" s="42" t="s">
        <v>350</v>
      </c>
      <c r="F167" s="49" t="s">
        <v>222</v>
      </c>
      <c r="G167" s="36" t="s">
        <v>351</v>
      </c>
      <c r="H167" s="44"/>
      <c r="I167" s="44"/>
      <c r="J167" s="44"/>
      <c r="K167" s="44"/>
      <c r="L167" s="44"/>
      <c r="M167" s="44"/>
      <c r="N167" s="36"/>
      <c r="O167" s="36"/>
      <c r="P167" s="45"/>
      <c r="Q167" s="45"/>
      <c r="R167" s="44"/>
      <c r="S167" s="44" t="s">
        <v>37</v>
      </c>
      <c r="T167" s="30" t="str">
        <f>IFERROR(VLOOKUP(O167, '[1]CURSOS 2025'!A:B, 2, FALSE), "")</f>
        <v/>
      </c>
      <c r="U167" s="48">
        <f t="shared" ref="U167" si="20">SUM(R167)</f>
        <v>0</v>
      </c>
    </row>
    <row r="168" spans="1:21" s="40" customFormat="1" ht="39.950000000000003" customHeight="1" thickBot="1" x14ac:dyDescent="0.35">
      <c r="A168" s="30">
        <f t="array" ref="A168">IF(B168&lt;&gt;"",COUNTIF($B$19:B168,"&lt;&gt;"),"")</f>
        <v>127</v>
      </c>
      <c r="B168" s="41">
        <v>248</v>
      </c>
      <c r="C168" s="42" t="s">
        <v>256</v>
      </c>
      <c r="D168" s="43">
        <v>205972</v>
      </c>
      <c r="E168" s="42" t="s">
        <v>352</v>
      </c>
      <c r="F168" s="49" t="s">
        <v>222</v>
      </c>
      <c r="G168" s="36" t="s">
        <v>353</v>
      </c>
      <c r="H168" s="44"/>
      <c r="I168" s="44"/>
      <c r="J168" s="44"/>
      <c r="K168" s="44"/>
      <c r="L168" s="44"/>
      <c r="M168" s="44"/>
      <c r="N168" s="36"/>
      <c r="O168" s="36"/>
      <c r="P168" s="45"/>
      <c r="Q168" s="45"/>
      <c r="R168" s="44"/>
      <c r="S168" s="46" t="s">
        <v>37</v>
      </c>
      <c r="T168" s="30" t="str">
        <f>IFERROR(VLOOKUP(O168, '[1]CURSOS 2025'!A:B, 2, FALSE), "")</f>
        <v/>
      </c>
      <c r="U168" s="39">
        <f>SUM(R168:R168)</f>
        <v>0</v>
      </c>
    </row>
    <row r="169" spans="1:21" s="40" customFormat="1" ht="39.950000000000003" customHeight="1" thickBot="1" x14ac:dyDescent="0.35">
      <c r="A169" s="30">
        <f t="array" ref="A169">IF(B169&lt;&gt;"",COUNTIF($B$19:B169,"&lt;&gt;"),"")</f>
        <v>128</v>
      </c>
      <c r="B169" s="41">
        <v>248</v>
      </c>
      <c r="C169" s="42" t="s">
        <v>256</v>
      </c>
      <c r="D169" s="43">
        <v>20636</v>
      </c>
      <c r="E169" s="42" t="s">
        <v>354</v>
      </c>
      <c r="F169" s="49" t="s">
        <v>222</v>
      </c>
      <c r="G169" s="36" t="s">
        <v>355</v>
      </c>
      <c r="H169" s="44"/>
      <c r="I169" s="44"/>
      <c r="J169" s="44"/>
      <c r="K169" s="44" t="s">
        <v>231</v>
      </c>
      <c r="L169" s="44" t="s">
        <v>231</v>
      </c>
      <c r="M169" s="44" t="s">
        <v>231</v>
      </c>
      <c r="N169" s="36" t="s">
        <v>1537</v>
      </c>
      <c r="O169" s="36" t="s">
        <v>233</v>
      </c>
      <c r="P169" s="45">
        <v>46107</v>
      </c>
      <c r="Q169" s="45">
        <v>46107</v>
      </c>
      <c r="R169" s="44">
        <v>40</v>
      </c>
      <c r="S169" s="46" t="s">
        <v>37</v>
      </c>
      <c r="T169" s="30" t="s">
        <v>234</v>
      </c>
      <c r="U169" s="39">
        <f>SUM(R169:R169)</f>
        <v>40</v>
      </c>
    </row>
    <row r="170" spans="1:21" s="40" customFormat="1" ht="57" customHeight="1" thickBot="1" x14ac:dyDescent="0.35">
      <c r="A170" s="30">
        <f t="array" ref="A170">IF(B170&lt;&gt;"",COUNTIF($B$19:B170,"&lt;&gt;"),"")</f>
        <v>129</v>
      </c>
      <c r="B170" s="41">
        <v>248</v>
      </c>
      <c r="C170" s="42" t="s">
        <v>256</v>
      </c>
      <c r="D170" s="43">
        <v>20807</v>
      </c>
      <c r="E170" s="42" t="s">
        <v>356</v>
      </c>
      <c r="F170" s="49" t="s">
        <v>222</v>
      </c>
      <c r="G170" s="36" t="s">
        <v>357</v>
      </c>
      <c r="H170" s="44"/>
      <c r="I170" s="44"/>
      <c r="J170" s="44"/>
      <c r="K170" s="44"/>
      <c r="L170" s="44"/>
      <c r="M170" s="44"/>
      <c r="N170" s="36"/>
      <c r="O170" s="36"/>
      <c r="P170" s="45"/>
      <c r="Q170" s="45"/>
      <c r="R170" s="44"/>
      <c r="S170" s="44" t="s">
        <v>33</v>
      </c>
      <c r="T170" s="30" t="str">
        <f>IFERROR(VLOOKUP(O170, '[1]CURSOS 2025'!A:B, 2, FALSE), "")</f>
        <v/>
      </c>
      <c r="U170" s="48">
        <f t="shared" ref="U170:U171" si="21">SUM(R170)</f>
        <v>0</v>
      </c>
    </row>
    <row r="171" spans="1:21" s="40" customFormat="1" ht="62.25" customHeight="1" thickBot="1" x14ac:dyDescent="0.35">
      <c r="A171" s="30">
        <f t="array" ref="A171">IF(B171&lt;&gt;"",COUNTIF($B$19:B171,"&lt;&gt;"),"")</f>
        <v>130</v>
      </c>
      <c r="B171" s="41">
        <v>248</v>
      </c>
      <c r="C171" s="42" t="s">
        <v>256</v>
      </c>
      <c r="D171" s="43">
        <v>205888</v>
      </c>
      <c r="E171" s="42" t="s">
        <v>358</v>
      </c>
      <c r="F171" s="49" t="s">
        <v>222</v>
      </c>
      <c r="G171" s="36" t="s">
        <v>359</v>
      </c>
      <c r="H171" s="44"/>
      <c r="I171" s="44"/>
      <c r="J171" s="44"/>
      <c r="K171" s="44" t="s">
        <v>231</v>
      </c>
      <c r="L171" s="44" t="s">
        <v>231</v>
      </c>
      <c r="M171" s="44" t="s">
        <v>231</v>
      </c>
      <c r="N171" s="36" t="s">
        <v>232</v>
      </c>
      <c r="O171" s="36" t="s">
        <v>1710</v>
      </c>
      <c r="P171" s="45">
        <v>46135</v>
      </c>
      <c r="Q171" s="45">
        <v>46135</v>
      </c>
      <c r="R171" s="44">
        <v>40</v>
      </c>
      <c r="S171" s="44" t="s">
        <v>37</v>
      </c>
      <c r="T171" s="30" t="s">
        <v>234</v>
      </c>
      <c r="U171" s="48">
        <f t="shared" si="21"/>
        <v>40</v>
      </c>
    </row>
    <row r="172" spans="1:21" s="40" customFormat="1" ht="39.950000000000003" customHeight="1" thickBot="1" x14ac:dyDescent="0.35">
      <c r="A172" s="30">
        <f t="array" ref="A172">IF(B172&lt;&gt;"",COUNTIF($B$19:B172,"&lt;&gt;"),"")</f>
        <v>131</v>
      </c>
      <c r="B172" s="41">
        <v>248</v>
      </c>
      <c r="C172" s="42" t="s">
        <v>256</v>
      </c>
      <c r="D172" s="43">
        <v>20850</v>
      </c>
      <c r="E172" s="42" t="s">
        <v>360</v>
      </c>
      <c r="F172" s="49" t="s">
        <v>222</v>
      </c>
      <c r="G172" s="36" t="s">
        <v>361</v>
      </c>
      <c r="H172" s="44"/>
      <c r="I172" s="44"/>
      <c r="J172" s="44"/>
      <c r="K172" s="44"/>
      <c r="L172" s="44"/>
      <c r="M172" s="44"/>
      <c r="N172" s="36"/>
      <c r="O172" s="36"/>
      <c r="P172" s="45"/>
      <c r="Q172" s="45"/>
      <c r="R172" s="44"/>
      <c r="S172" s="46" t="s">
        <v>37</v>
      </c>
      <c r="T172" s="30" t="str">
        <f>IFERROR(VLOOKUP(O172, '[1]CURSOS 2025'!A:B, 2, FALSE), "")</f>
        <v/>
      </c>
      <c r="U172" s="39">
        <f>SUM(R172:R172)</f>
        <v>0</v>
      </c>
    </row>
    <row r="173" spans="1:21" s="40" customFormat="1" ht="39.950000000000003" customHeight="1" thickBot="1" x14ac:dyDescent="0.35">
      <c r="A173" s="30">
        <f t="array" ref="A173">IF(B173&lt;&gt;"",COUNTIF($B$19:B173,"&lt;&gt;"),"")</f>
        <v>132</v>
      </c>
      <c r="B173" s="41">
        <v>248</v>
      </c>
      <c r="C173" s="42" t="s">
        <v>256</v>
      </c>
      <c r="D173" s="43">
        <v>206205</v>
      </c>
      <c r="E173" s="42" t="s">
        <v>362</v>
      </c>
      <c r="F173" s="49" t="s">
        <v>222</v>
      </c>
      <c r="G173" s="36" t="s">
        <v>363</v>
      </c>
      <c r="H173" s="44"/>
      <c r="I173" s="44"/>
      <c r="J173" s="44"/>
      <c r="K173" s="44"/>
      <c r="L173" s="44"/>
      <c r="M173" s="44"/>
      <c r="N173" s="36"/>
      <c r="O173" s="36"/>
      <c r="P173" s="45"/>
      <c r="Q173" s="45"/>
      <c r="R173" s="44"/>
      <c r="S173" s="46" t="s">
        <v>37</v>
      </c>
      <c r="T173" s="30" t="str">
        <f>IFERROR(VLOOKUP(O173, '[1]CURSOS 2025'!A:B, 2, FALSE), "")</f>
        <v/>
      </c>
      <c r="U173" s="39">
        <f>SUM(R173:R173)</f>
        <v>0</v>
      </c>
    </row>
    <row r="174" spans="1:21" s="40" customFormat="1" ht="39.950000000000003" customHeight="1" thickBot="1" x14ac:dyDescent="0.35">
      <c r="A174" s="30">
        <f t="array" ref="A174">IF(B174&lt;&gt;"",COUNTIF($B$19:B174,"&lt;&gt;"),"")</f>
        <v>133</v>
      </c>
      <c r="B174" s="41">
        <v>248</v>
      </c>
      <c r="C174" s="42" t="s">
        <v>256</v>
      </c>
      <c r="D174" s="43">
        <v>20842</v>
      </c>
      <c r="E174" s="42" t="s">
        <v>364</v>
      </c>
      <c r="F174" s="49" t="s">
        <v>222</v>
      </c>
      <c r="G174" s="36" t="s">
        <v>365</v>
      </c>
      <c r="H174" s="44"/>
      <c r="I174" s="44"/>
      <c r="J174" s="44"/>
      <c r="K174" s="44" t="s">
        <v>231</v>
      </c>
      <c r="L174" s="44" t="s">
        <v>231</v>
      </c>
      <c r="M174" s="44" t="s">
        <v>231</v>
      </c>
      <c r="N174" s="36" t="s">
        <v>1537</v>
      </c>
      <c r="O174" s="36" t="s">
        <v>2299</v>
      </c>
      <c r="P174" s="45">
        <v>46117</v>
      </c>
      <c r="Q174" s="45">
        <v>46117</v>
      </c>
      <c r="R174" s="44">
        <v>20</v>
      </c>
      <c r="S174" s="44" t="s">
        <v>37</v>
      </c>
      <c r="T174" s="30" t="s">
        <v>234</v>
      </c>
      <c r="U174" s="221">
        <f>SUM(R174:R175)</f>
        <v>44</v>
      </c>
    </row>
    <row r="175" spans="1:21" s="40" customFormat="1" ht="39.950000000000003" customHeight="1" thickBot="1" x14ac:dyDescent="0.35">
      <c r="A175" s="30"/>
      <c r="B175" s="41"/>
      <c r="C175" s="42"/>
      <c r="D175" s="43"/>
      <c r="E175" s="42"/>
      <c r="F175" s="49"/>
      <c r="G175" s="36"/>
      <c r="H175" s="44"/>
      <c r="I175" s="44"/>
      <c r="J175" s="44"/>
      <c r="K175" s="44" t="s">
        <v>231</v>
      </c>
      <c r="L175" s="44" t="s">
        <v>231</v>
      </c>
      <c r="M175" s="44" t="s">
        <v>231</v>
      </c>
      <c r="N175" s="36" t="s">
        <v>1537</v>
      </c>
      <c r="O175" s="36" t="s">
        <v>2300</v>
      </c>
      <c r="P175" s="219">
        <v>46122</v>
      </c>
      <c r="Q175" s="219">
        <v>46122</v>
      </c>
      <c r="R175" s="44">
        <v>24</v>
      </c>
      <c r="S175" s="46" t="s">
        <v>37</v>
      </c>
      <c r="T175" s="30" t="s">
        <v>234</v>
      </c>
      <c r="U175" s="223"/>
    </row>
    <row r="176" spans="1:21" s="40" customFormat="1" ht="39.75" customHeight="1" thickBot="1" x14ac:dyDescent="0.35">
      <c r="A176" s="30">
        <f t="array" ref="A176">IF(B176&lt;&gt;"",COUNTIF($B$19:B176,"&lt;&gt;"),"")</f>
        <v>134</v>
      </c>
      <c r="B176" s="41">
        <v>248</v>
      </c>
      <c r="C176" s="42" t="s">
        <v>256</v>
      </c>
      <c r="D176" s="43">
        <v>205635</v>
      </c>
      <c r="E176" s="42" t="s">
        <v>366</v>
      </c>
      <c r="F176" s="49" t="s">
        <v>222</v>
      </c>
      <c r="G176" s="36" t="s">
        <v>367</v>
      </c>
      <c r="H176" s="44"/>
      <c r="I176" s="44"/>
      <c r="J176" s="44"/>
      <c r="K176" s="44" t="s">
        <v>231</v>
      </c>
      <c r="L176" s="44" t="s">
        <v>231</v>
      </c>
      <c r="M176" s="44" t="s">
        <v>231</v>
      </c>
      <c r="N176" s="36" t="s">
        <v>1537</v>
      </c>
      <c r="O176" s="36" t="s">
        <v>233</v>
      </c>
      <c r="P176" s="45">
        <v>46084</v>
      </c>
      <c r="Q176" s="45">
        <v>46084</v>
      </c>
      <c r="R176" s="44">
        <v>40</v>
      </c>
      <c r="S176" s="46" t="s">
        <v>37</v>
      </c>
      <c r="T176" s="30" t="s">
        <v>234</v>
      </c>
      <c r="U176" s="39">
        <f>SUM(R176:R176)</f>
        <v>40</v>
      </c>
    </row>
    <row r="177" spans="1:21" s="40" customFormat="1" ht="39.950000000000003" customHeight="1" thickBot="1" x14ac:dyDescent="0.35">
      <c r="A177" s="30">
        <f t="array" ref="A177">IF(B177&lt;&gt;"",COUNTIF($B$19:B177,"&lt;&gt;"),"")</f>
        <v>135</v>
      </c>
      <c r="B177" s="41">
        <v>248</v>
      </c>
      <c r="C177" s="42" t="s">
        <v>256</v>
      </c>
      <c r="D177" s="43">
        <v>205904</v>
      </c>
      <c r="E177" s="42" t="s">
        <v>368</v>
      </c>
      <c r="F177" s="49" t="s">
        <v>222</v>
      </c>
      <c r="G177" s="36" t="s">
        <v>369</v>
      </c>
      <c r="H177" s="44"/>
      <c r="I177" s="44"/>
      <c r="J177" s="44"/>
      <c r="K177" s="44"/>
      <c r="L177" s="44"/>
      <c r="M177" s="44"/>
      <c r="N177" s="36"/>
      <c r="O177" s="36"/>
      <c r="P177" s="45"/>
      <c r="Q177" s="45"/>
      <c r="R177" s="44"/>
      <c r="S177" s="46" t="s">
        <v>33</v>
      </c>
      <c r="T177" s="30" t="str">
        <f>IFERROR(VLOOKUP(O177, '[1]CURSOS 2025'!A:B, 2, FALSE), "")</f>
        <v/>
      </c>
      <c r="U177" s="39">
        <f>SUM(R177:R177)</f>
        <v>0</v>
      </c>
    </row>
    <row r="178" spans="1:21" s="40" customFormat="1" ht="62.25" customHeight="1" thickBot="1" x14ac:dyDescent="0.35">
      <c r="A178" s="30">
        <f t="array" ref="A178">IF(B178&lt;&gt;"",COUNTIF($B$19:B178,"&lt;&gt;"),"")</f>
        <v>136</v>
      </c>
      <c r="B178" s="41">
        <v>248</v>
      </c>
      <c r="C178" s="42" t="s">
        <v>256</v>
      </c>
      <c r="D178" s="43">
        <v>205485</v>
      </c>
      <c r="E178" s="42" t="s">
        <v>370</v>
      </c>
      <c r="F178" s="49" t="s">
        <v>222</v>
      </c>
      <c r="G178" s="36" t="s">
        <v>371</v>
      </c>
      <c r="H178" s="44"/>
      <c r="I178" s="44"/>
      <c r="J178" s="44"/>
      <c r="K178" s="216" t="s">
        <v>231</v>
      </c>
      <c r="L178" s="214" t="s">
        <v>231</v>
      </c>
      <c r="M178" s="214" t="s">
        <v>231</v>
      </c>
      <c r="N178" s="217" t="s">
        <v>1537</v>
      </c>
      <c r="O178" s="217" t="s">
        <v>1710</v>
      </c>
      <c r="P178" s="213">
        <v>46121</v>
      </c>
      <c r="Q178" s="213">
        <v>46121</v>
      </c>
      <c r="R178" s="214">
        <v>40</v>
      </c>
      <c r="S178" s="44" t="s">
        <v>37</v>
      </c>
      <c r="T178" s="30" t="s">
        <v>234</v>
      </c>
      <c r="U178" s="48">
        <f t="shared" ref="U178" si="22">SUM(R178)</f>
        <v>40</v>
      </c>
    </row>
    <row r="179" spans="1:21" s="40" customFormat="1" ht="39.950000000000003" customHeight="1" thickBot="1" x14ac:dyDescent="0.35">
      <c r="A179" s="30">
        <f t="array" ref="A179">IF(B179&lt;&gt;"",COUNTIF($B$19:B179,"&lt;&gt;"),"")</f>
        <v>137</v>
      </c>
      <c r="B179" s="41">
        <v>248</v>
      </c>
      <c r="C179" s="42" t="s">
        <v>256</v>
      </c>
      <c r="D179" s="43">
        <v>20465</v>
      </c>
      <c r="E179" s="42" t="s">
        <v>372</v>
      </c>
      <c r="F179" s="49" t="s">
        <v>222</v>
      </c>
      <c r="G179" s="36" t="s">
        <v>373</v>
      </c>
      <c r="H179" s="44"/>
      <c r="I179" s="44"/>
      <c r="J179" s="44"/>
      <c r="K179" s="44"/>
      <c r="L179" s="44"/>
      <c r="M179" s="44"/>
      <c r="N179" s="36"/>
      <c r="O179" s="36"/>
      <c r="P179" s="45"/>
      <c r="Q179" s="45"/>
      <c r="R179" s="44"/>
      <c r="S179" s="46" t="s">
        <v>37</v>
      </c>
      <c r="T179" s="30" t="str">
        <f>IFERROR(VLOOKUP(O179, '[1]CURSOS 2025'!A:B, 2, FALSE), "")</f>
        <v/>
      </c>
      <c r="U179" s="39">
        <f>SUM(R179:R179)</f>
        <v>0</v>
      </c>
    </row>
    <row r="180" spans="1:21" s="40" customFormat="1" ht="39.950000000000003" customHeight="1" thickBot="1" x14ac:dyDescent="0.35">
      <c r="A180" s="30">
        <f t="array" ref="A180">IF(B180&lt;&gt;"",COUNTIF($B$19:B180,"&lt;&gt;"),"")</f>
        <v>138</v>
      </c>
      <c r="B180" s="41">
        <v>248</v>
      </c>
      <c r="C180" s="42" t="s">
        <v>256</v>
      </c>
      <c r="D180" s="43">
        <v>20848</v>
      </c>
      <c r="E180" s="42" t="s">
        <v>374</v>
      </c>
      <c r="F180" s="49" t="s">
        <v>222</v>
      </c>
      <c r="G180" s="36" t="s">
        <v>375</v>
      </c>
      <c r="H180" s="44"/>
      <c r="I180" s="44"/>
      <c r="J180" s="44"/>
      <c r="K180" s="44"/>
      <c r="L180" s="44"/>
      <c r="M180" s="44"/>
      <c r="N180" s="36"/>
      <c r="O180" s="36"/>
      <c r="P180" s="45"/>
      <c r="Q180" s="45"/>
      <c r="R180" s="44"/>
      <c r="S180" s="46" t="s">
        <v>37</v>
      </c>
      <c r="T180" s="30" t="str">
        <f>IFERROR(VLOOKUP(O180, '[1]CURSOS 2025'!A:B, 2, FALSE), "")</f>
        <v/>
      </c>
      <c r="U180" s="39">
        <f>SUM(R180:R180)</f>
        <v>0</v>
      </c>
    </row>
    <row r="181" spans="1:21" s="40" customFormat="1" ht="39.950000000000003" customHeight="1" thickBot="1" x14ac:dyDescent="0.35">
      <c r="A181" s="30">
        <f t="array" ref="A181">IF(B181&lt;&gt;"",COUNTIF($B$19:B181,"&lt;&gt;"),"")</f>
        <v>139</v>
      </c>
      <c r="B181" s="41">
        <v>248</v>
      </c>
      <c r="C181" s="42" t="s">
        <v>256</v>
      </c>
      <c r="D181" s="43">
        <v>205813</v>
      </c>
      <c r="E181" s="42" t="s">
        <v>376</v>
      </c>
      <c r="F181" s="49" t="s">
        <v>222</v>
      </c>
      <c r="G181" s="36" t="s">
        <v>377</v>
      </c>
      <c r="H181" s="44"/>
      <c r="I181" s="44"/>
      <c r="J181" s="44"/>
      <c r="K181" s="44" t="s">
        <v>231</v>
      </c>
      <c r="L181" s="44" t="s">
        <v>231</v>
      </c>
      <c r="M181" s="44" t="s">
        <v>231</v>
      </c>
      <c r="N181" s="36" t="s">
        <v>1537</v>
      </c>
      <c r="O181" s="36" t="s">
        <v>233</v>
      </c>
      <c r="P181" s="45">
        <v>46086</v>
      </c>
      <c r="Q181" s="45">
        <v>46086</v>
      </c>
      <c r="R181" s="44">
        <v>40</v>
      </c>
      <c r="S181" s="46" t="s">
        <v>37</v>
      </c>
      <c r="T181" s="30" t="s">
        <v>234</v>
      </c>
      <c r="U181" s="39">
        <f>SUM(R181:R181)</f>
        <v>40</v>
      </c>
    </row>
    <row r="182" spans="1:21" s="40" customFormat="1" ht="39.950000000000003" customHeight="1" thickBot="1" x14ac:dyDescent="0.35">
      <c r="A182" s="30">
        <f t="array" ref="A182">IF(B182&lt;&gt;"",COUNTIF($B$19:B182,"&lt;&gt;"),"")</f>
        <v>140</v>
      </c>
      <c r="B182" s="41">
        <v>248</v>
      </c>
      <c r="C182" s="42" t="s">
        <v>256</v>
      </c>
      <c r="D182" s="43">
        <v>205477</v>
      </c>
      <c r="E182" s="42" t="s">
        <v>378</v>
      </c>
      <c r="F182" s="49" t="s">
        <v>222</v>
      </c>
      <c r="G182" s="36" t="s">
        <v>379</v>
      </c>
      <c r="H182" s="44"/>
      <c r="I182" s="44"/>
      <c r="J182" s="44"/>
      <c r="K182" s="44"/>
      <c r="L182" s="44"/>
      <c r="M182" s="44"/>
      <c r="N182" s="36"/>
      <c r="O182" s="36"/>
      <c r="P182" s="45"/>
      <c r="Q182" s="45"/>
      <c r="R182" s="44"/>
      <c r="S182" s="46" t="s">
        <v>37</v>
      </c>
      <c r="T182" s="30" t="str">
        <f>IFERROR(VLOOKUP(O182, '[1]CURSOS 2025'!A:B, 2, FALSE), "")</f>
        <v/>
      </c>
      <c r="U182" s="39">
        <f>SUM(R182:R182)</f>
        <v>0</v>
      </c>
    </row>
    <row r="183" spans="1:21" s="40" customFormat="1" ht="30.75" customHeight="1" thickBot="1" x14ac:dyDescent="0.35">
      <c r="A183" s="30">
        <f t="array" ref="A183">IF(B183&lt;&gt;"",COUNTIF($B$19:B183,"&lt;&gt;"),"")</f>
        <v>141</v>
      </c>
      <c r="B183" s="41">
        <v>248</v>
      </c>
      <c r="C183" s="42" t="s">
        <v>256</v>
      </c>
      <c r="D183" s="43">
        <v>205602</v>
      </c>
      <c r="E183" s="42" t="s">
        <v>380</v>
      </c>
      <c r="F183" s="49" t="s">
        <v>222</v>
      </c>
      <c r="G183" s="36" t="s">
        <v>381</v>
      </c>
      <c r="H183" s="44"/>
      <c r="I183" s="44"/>
      <c r="J183" s="44"/>
      <c r="K183" s="44"/>
      <c r="L183" s="44"/>
      <c r="M183" s="44"/>
      <c r="N183" s="36"/>
      <c r="O183" s="36"/>
      <c r="P183" s="45"/>
      <c r="Q183" s="45"/>
      <c r="R183" s="44"/>
      <c r="S183" s="44" t="s">
        <v>33</v>
      </c>
      <c r="T183" s="30" t="str">
        <f>IFERROR(VLOOKUP(O183, '[1]CURSOS 2025'!A:B, 2, FALSE), "")</f>
        <v/>
      </c>
      <c r="U183" s="48">
        <f t="shared" ref="U183" si="23">SUM(R183)</f>
        <v>0</v>
      </c>
    </row>
    <row r="184" spans="1:21" s="40" customFormat="1" ht="39.950000000000003" customHeight="1" thickBot="1" x14ac:dyDescent="0.35">
      <c r="A184" s="30">
        <f t="array" ref="A184">IF(B184&lt;&gt;"",COUNTIF($B$19:B184,"&lt;&gt;"),"")</f>
        <v>142</v>
      </c>
      <c r="B184" s="41">
        <v>248</v>
      </c>
      <c r="C184" s="42" t="s">
        <v>256</v>
      </c>
      <c r="D184" s="43">
        <v>205556</v>
      </c>
      <c r="E184" s="42" t="s">
        <v>382</v>
      </c>
      <c r="F184" s="49" t="s">
        <v>222</v>
      </c>
      <c r="G184" s="36" t="s">
        <v>383</v>
      </c>
      <c r="H184" s="44"/>
      <c r="I184" s="44"/>
      <c r="J184" s="44"/>
      <c r="K184" s="44"/>
      <c r="L184" s="44"/>
      <c r="M184" s="44"/>
      <c r="N184" s="36"/>
      <c r="O184" s="36"/>
      <c r="P184" s="45"/>
      <c r="Q184" s="45"/>
      <c r="R184" s="44"/>
      <c r="S184" s="46" t="s">
        <v>37</v>
      </c>
      <c r="T184" s="30" t="str">
        <f>IFERROR(VLOOKUP(O184, '[1]CURSOS 2025'!A:B, 2, FALSE), "")</f>
        <v/>
      </c>
      <c r="U184" s="39">
        <f>SUM(R184:R184)</f>
        <v>0</v>
      </c>
    </row>
    <row r="185" spans="1:21" s="40" customFormat="1" ht="39.950000000000003" customHeight="1" thickBot="1" x14ac:dyDescent="0.35">
      <c r="A185" s="30">
        <f t="array" ref="A185">IF(B185&lt;&gt;"",COUNTIF($B$19:B185,"&lt;&gt;"),"")</f>
        <v>143</v>
      </c>
      <c r="B185" s="41">
        <v>248</v>
      </c>
      <c r="C185" s="42" t="s">
        <v>291</v>
      </c>
      <c r="D185" s="43">
        <v>20117</v>
      </c>
      <c r="E185" s="42" t="s">
        <v>384</v>
      </c>
      <c r="F185" s="49" t="s">
        <v>222</v>
      </c>
      <c r="G185" s="36" t="s">
        <v>385</v>
      </c>
      <c r="H185" s="44"/>
      <c r="I185" s="44"/>
      <c r="J185" s="44"/>
      <c r="K185" s="44"/>
      <c r="L185" s="44"/>
      <c r="M185" s="44"/>
      <c r="N185" s="36"/>
      <c r="O185" s="36"/>
      <c r="P185" s="45"/>
      <c r="Q185" s="45"/>
      <c r="R185" s="44"/>
      <c r="S185" s="46" t="s">
        <v>33</v>
      </c>
      <c r="T185" s="30" t="str">
        <f>IFERROR(VLOOKUP(O185, '[1]CURSOS 2025'!A:B, 2, FALSE), "")</f>
        <v/>
      </c>
      <c r="U185" s="39">
        <f>SUM(R185:R185)</f>
        <v>0</v>
      </c>
    </row>
    <row r="186" spans="1:21" s="40" customFormat="1" ht="30.75" customHeight="1" thickBot="1" x14ac:dyDescent="0.35">
      <c r="A186" s="30">
        <f t="array" ref="A186">IF(B186&lt;&gt;"",COUNTIF($B$19:B186,"&lt;&gt;"),"")</f>
        <v>144</v>
      </c>
      <c r="B186" s="41">
        <v>248</v>
      </c>
      <c r="C186" s="42" t="s">
        <v>294</v>
      </c>
      <c r="D186" s="43">
        <v>20118</v>
      </c>
      <c r="E186" s="42" t="s">
        <v>386</v>
      </c>
      <c r="F186" s="49" t="s">
        <v>222</v>
      </c>
      <c r="G186" s="36" t="s">
        <v>387</v>
      </c>
      <c r="H186" s="44"/>
      <c r="I186" s="44"/>
      <c r="J186" s="44"/>
      <c r="K186" s="44"/>
      <c r="L186" s="44"/>
      <c r="M186" s="44"/>
      <c r="N186" s="36"/>
      <c r="O186" s="36"/>
      <c r="P186" s="45"/>
      <c r="Q186" s="45"/>
      <c r="R186" s="44"/>
      <c r="S186" s="44" t="s">
        <v>33</v>
      </c>
      <c r="T186" s="30" t="str">
        <f>IFERROR(VLOOKUP(O186, '[1]CURSOS 2025'!A:B, 2, FALSE), "")</f>
        <v/>
      </c>
      <c r="U186" s="48">
        <f t="shared" ref="U186:U187" si="24">SUM(R186)</f>
        <v>0</v>
      </c>
    </row>
    <row r="187" spans="1:21" s="40" customFormat="1" ht="30.75" customHeight="1" thickBot="1" x14ac:dyDescent="0.35">
      <c r="A187" s="30">
        <f t="array" ref="A187">IF(B187&lt;&gt;"",COUNTIF($B$19:B187,"&lt;&gt;"),"")</f>
        <v>145</v>
      </c>
      <c r="B187" s="41">
        <v>248</v>
      </c>
      <c r="C187" s="42" t="s">
        <v>294</v>
      </c>
      <c r="D187" s="43">
        <v>20249</v>
      </c>
      <c r="E187" s="42" t="s">
        <v>388</v>
      </c>
      <c r="F187" s="49" t="s">
        <v>222</v>
      </c>
      <c r="G187" s="36" t="s">
        <v>389</v>
      </c>
      <c r="H187" s="44"/>
      <c r="I187" s="44"/>
      <c r="J187" s="44"/>
      <c r="K187" s="44"/>
      <c r="L187" s="44"/>
      <c r="M187" s="44"/>
      <c r="N187" s="36"/>
      <c r="O187" s="36"/>
      <c r="P187" s="45"/>
      <c r="Q187" s="45"/>
      <c r="R187" s="44"/>
      <c r="S187" s="44" t="s">
        <v>37</v>
      </c>
      <c r="T187" s="30" t="str">
        <f>IFERROR(VLOOKUP(O187, '[1]CURSOS 2025'!A:B, 2, FALSE), "")</f>
        <v/>
      </c>
      <c r="U187" s="48">
        <f t="shared" si="24"/>
        <v>0</v>
      </c>
    </row>
    <row r="188" spans="1:21" s="40" customFormat="1" ht="39.950000000000003" customHeight="1" thickBot="1" x14ac:dyDescent="0.35">
      <c r="A188" s="30">
        <f t="array" ref="A188">IF(B188&lt;&gt;"",COUNTIF($B$19:B188,"&lt;&gt;"),"")</f>
        <v>146</v>
      </c>
      <c r="B188" s="41">
        <v>248</v>
      </c>
      <c r="C188" s="42" t="s">
        <v>256</v>
      </c>
      <c r="D188" s="43">
        <v>206005</v>
      </c>
      <c r="E188" s="42" t="s">
        <v>390</v>
      </c>
      <c r="F188" s="49" t="s">
        <v>222</v>
      </c>
      <c r="G188" s="36" t="s">
        <v>391</v>
      </c>
      <c r="H188" s="44"/>
      <c r="I188" s="44"/>
      <c r="J188" s="44"/>
      <c r="K188" s="44"/>
      <c r="L188" s="44"/>
      <c r="M188" s="44"/>
      <c r="N188" s="36"/>
      <c r="O188" s="36"/>
      <c r="P188" s="45"/>
      <c r="Q188" s="45"/>
      <c r="R188" s="44"/>
      <c r="S188" s="46" t="s">
        <v>33</v>
      </c>
      <c r="T188" s="30" t="str">
        <f>IFERROR(VLOOKUP(O188, '[1]CURSOS 2025'!A:B, 2, FALSE), "")</f>
        <v/>
      </c>
      <c r="U188" s="39">
        <f>SUM(R188:R188)</f>
        <v>0</v>
      </c>
    </row>
    <row r="189" spans="1:21" s="40" customFormat="1" ht="30.75" customHeight="1" thickBot="1" x14ac:dyDescent="0.35">
      <c r="A189" s="30">
        <f t="array" ref="A189">IF(B189&lt;&gt;"",COUNTIF($B$19:B189,"&lt;&gt;"),"")</f>
        <v>147</v>
      </c>
      <c r="B189" s="41">
        <v>248</v>
      </c>
      <c r="C189" s="42" t="s">
        <v>256</v>
      </c>
      <c r="D189" s="43">
        <v>20682</v>
      </c>
      <c r="E189" s="42" t="s">
        <v>392</v>
      </c>
      <c r="F189" s="49" t="s">
        <v>222</v>
      </c>
      <c r="G189" s="36" t="s">
        <v>393</v>
      </c>
      <c r="H189" s="44"/>
      <c r="I189" s="44"/>
      <c r="J189" s="44"/>
      <c r="K189" s="44"/>
      <c r="L189" s="44"/>
      <c r="M189" s="44"/>
      <c r="N189" s="36"/>
      <c r="O189" s="36"/>
      <c r="P189" s="45"/>
      <c r="Q189" s="45"/>
      <c r="R189" s="44"/>
      <c r="S189" s="44" t="s">
        <v>33</v>
      </c>
      <c r="T189" s="30" t="str">
        <f>IFERROR(VLOOKUP(O189, '[1]CURSOS 2025'!A:B, 2, FALSE), "")</f>
        <v/>
      </c>
      <c r="U189" s="48">
        <f t="shared" ref="U189" si="25">SUM(R189)</f>
        <v>0</v>
      </c>
    </row>
    <row r="190" spans="1:21" s="40" customFormat="1" ht="39.950000000000003" customHeight="1" thickBot="1" x14ac:dyDescent="0.35">
      <c r="A190" s="30">
        <f t="array" ref="A190">IF(B190&lt;&gt;"",COUNTIF($B$19:B190,"&lt;&gt;"),"")</f>
        <v>148</v>
      </c>
      <c r="B190" s="41">
        <v>248</v>
      </c>
      <c r="C190" s="42" t="s">
        <v>256</v>
      </c>
      <c r="D190" s="43">
        <v>206088</v>
      </c>
      <c r="E190" s="42" t="s">
        <v>394</v>
      </c>
      <c r="F190" s="49" t="s">
        <v>222</v>
      </c>
      <c r="G190" s="36" t="s">
        <v>395</v>
      </c>
      <c r="H190" s="44"/>
      <c r="I190" s="44"/>
      <c r="J190" s="44"/>
      <c r="K190" s="44"/>
      <c r="L190" s="44"/>
      <c r="M190" s="44"/>
      <c r="N190" s="36"/>
      <c r="O190" s="36"/>
      <c r="P190" s="45"/>
      <c r="Q190" s="45"/>
      <c r="R190" s="44"/>
      <c r="S190" s="46" t="s">
        <v>33</v>
      </c>
      <c r="T190" s="30" t="str">
        <f>IFERROR(VLOOKUP(O190, '[1]CURSOS 2025'!A:B, 2, FALSE), "")</f>
        <v/>
      </c>
      <c r="U190" s="39">
        <f>SUM(R190:R190)</f>
        <v>0</v>
      </c>
    </row>
    <row r="191" spans="1:21" s="40" customFormat="1" ht="39.950000000000003" customHeight="1" thickBot="1" x14ac:dyDescent="0.35">
      <c r="A191" s="30">
        <f t="array" ref="A191">IF(B191&lt;&gt;"",COUNTIF($B$19:B191,"&lt;&gt;"),"")</f>
        <v>149</v>
      </c>
      <c r="B191" s="41">
        <v>248</v>
      </c>
      <c r="C191" s="42" t="s">
        <v>256</v>
      </c>
      <c r="D191" s="43">
        <v>205796</v>
      </c>
      <c r="E191" s="42" t="s">
        <v>396</v>
      </c>
      <c r="F191" s="49" t="s">
        <v>222</v>
      </c>
      <c r="G191" s="36" t="s">
        <v>397</v>
      </c>
      <c r="H191" s="44"/>
      <c r="I191" s="44"/>
      <c r="J191" s="44"/>
      <c r="K191" s="44"/>
      <c r="L191" s="44"/>
      <c r="M191" s="44"/>
      <c r="N191" s="36"/>
      <c r="O191" s="36"/>
      <c r="P191" s="45"/>
      <c r="Q191" s="45"/>
      <c r="R191" s="44"/>
      <c r="S191" s="46" t="s">
        <v>37</v>
      </c>
      <c r="T191" s="30" t="str">
        <f>IFERROR(VLOOKUP(O191, '[1]CURSOS 2025'!A:B, 2, FALSE), "")</f>
        <v/>
      </c>
      <c r="U191" s="39">
        <f>SUM(R191:R191)</f>
        <v>0</v>
      </c>
    </row>
    <row r="192" spans="1:21" s="40" customFormat="1" ht="57" customHeight="1" thickBot="1" x14ac:dyDescent="0.35">
      <c r="A192" s="30">
        <f t="array" ref="A192">IF(B192&lt;&gt;"",COUNTIF($B$19:B192,"&lt;&gt;"),"")</f>
        <v>150</v>
      </c>
      <c r="B192" s="41">
        <v>248</v>
      </c>
      <c r="C192" s="42" t="s">
        <v>256</v>
      </c>
      <c r="D192" s="43">
        <v>205844</v>
      </c>
      <c r="E192" s="42" t="s">
        <v>398</v>
      </c>
      <c r="F192" s="49" t="s">
        <v>222</v>
      </c>
      <c r="G192" s="36" t="s">
        <v>399</v>
      </c>
      <c r="H192" s="44"/>
      <c r="I192" s="44"/>
      <c r="J192" s="44"/>
      <c r="K192" s="44"/>
      <c r="L192" s="44"/>
      <c r="M192" s="44"/>
      <c r="N192" s="36"/>
      <c r="O192" s="36"/>
      <c r="P192" s="45"/>
      <c r="Q192" s="45"/>
      <c r="R192" s="44"/>
      <c r="S192" s="44" t="s">
        <v>37</v>
      </c>
      <c r="T192" s="30" t="str">
        <f>IFERROR(VLOOKUP(O192, '[1]CURSOS 2025'!A:B, 2, FALSE), "")</f>
        <v/>
      </c>
      <c r="U192" s="48">
        <f t="shared" ref="U192" si="26">SUM(R192)</f>
        <v>0</v>
      </c>
    </row>
    <row r="193" spans="1:21" s="40" customFormat="1" ht="39.950000000000003" customHeight="1" thickBot="1" x14ac:dyDescent="0.35">
      <c r="A193" s="30">
        <f t="array" ref="A193">IF(B193&lt;&gt;"",COUNTIF($B$19:B193,"&lt;&gt;"),"")</f>
        <v>151</v>
      </c>
      <c r="B193" s="41">
        <v>248</v>
      </c>
      <c r="C193" s="42" t="s">
        <v>256</v>
      </c>
      <c r="D193" s="43">
        <v>205997</v>
      </c>
      <c r="E193" s="42" t="s">
        <v>400</v>
      </c>
      <c r="F193" s="49" t="s">
        <v>222</v>
      </c>
      <c r="G193" s="36" t="s">
        <v>401</v>
      </c>
      <c r="H193" s="44"/>
      <c r="I193" s="44"/>
      <c r="J193" s="44"/>
      <c r="K193" s="44" t="s">
        <v>231</v>
      </c>
      <c r="L193" s="44" t="s">
        <v>231</v>
      </c>
      <c r="M193" s="44" t="s">
        <v>231</v>
      </c>
      <c r="N193" s="36" t="s">
        <v>232</v>
      </c>
      <c r="O193" s="36" t="s">
        <v>1710</v>
      </c>
      <c r="P193" s="45">
        <v>46143</v>
      </c>
      <c r="Q193" s="45">
        <v>46143</v>
      </c>
      <c r="R193" s="44">
        <v>40</v>
      </c>
      <c r="S193" s="46" t="s">
        <v>37</v>
      </c>
      <c r="T193" s="30" t="s">
        <v>234</v>
      </c>
      <c r="U193" s="39">
        <f t="shared" ref="U193:U199" si="27">SUM(R193:R193)</f>
        <v>40</v>
      </c>
    </row>
    <row r="194" spans="1:21" s="40" customFormat="1" ht="39.950000000000003" customHeight="1" thickBot="1" x14ac:dyDescent="0.35">
      <c r="A194" s="30">
        <f t="array" ref="A194">IF(B194&lt;&gt;"",COUNTIF($B$19:B194,"&lt;&gt;"),"")</f>
        <v>152</v>
      </c>
      <c r="B194" s="41">
        <v>248</v>
      </c>
      <c r="C194" s="42" t="s">
        <v>256</v>
      </c>
      <c r="D194" s="43">
        <v>205762</v>
      </c>
      <c r="E194" s="42" t="s">
        <v>402</v>
      </c>
      <c r="F194" s="49" t="s">
        <v>222</v>
      </c>
      <c r="G194" s="36" t="s">
        <v>403</v>
      </c>
      <c r="H194" s="44"/>
      <c r="I194" s="44"/>
      <c r="J194" s="44"/>
      <c r="K194" s="44"/>
      <c r="L194" s="44"/>
      <c r="M194" s="44"/>
      <c r="N194" s="36"/>
      <c r="O194" s="36"/>
      <c r="P194" s="45"/>
      <c r="Q194" s="45"/>
      <c r="R194" s="44"/>
      <c r="S194" s="46" t="s">
        <v>37</v>
      </c>
      <c r="T194" s="30" t="str">
        <f>IFERROR(VLOOKUP(O194, '[1]CURSOS 2025'!A:B, 2, FALSE), "")</f>
        <v/>
      </c>
      <c r="U194" s="39">
        <f t="shared" si="27"/>
        <v>0</v>
      </c>
    </row>
    <row r="195" spans="1:21" s="40" customFormat="1" ht="39.950000000000003" customHeight="1" thickBot="1" x14ac:dyDescent="0.35">
      <c r="A195" s="30">
        <f t="array" ref="A195">IF(B195&lt;&gt;"",COUNTIF($B$19:B195,"&lt;&gt;"),"")</f>
        <v>153</v>
      </c>
      <c r="B195" s="41">
        <v>248</v>
      </c>
      <c r="C195" s="42" t="s">
        <v>256</v>
      </c>
      <c r="D195" s="43">
        <v>205941</v>
      </c>
      <c r="E195" s="42" t="s">
        <v>404</v>
      </c>
      <c r="F195" s="49" t="s">
        <v>222</v>
      </c>
      <c r="G195" s="36" t="s">
        <v>405</v>
      </c>
      <c r="H195" s="44"/>
      <c r="I195" s="44"/>
      <c r="J195" s="44"/>
      <c r="K195" s="44"/>
      <c r="L195" s="44"/>
      <c r="M195" s="44"/>
      <c r="N195" s="36"/>
      <c r="O195" s="36"/>
      <c r="P195" s="45"/>
      <c r="Q195" s="45"/>
      <c r="R195" s="44"/>
      <c r="S195" s="46" t="s">
        <v>37</v>
      </c>
      <c r="T195" s="30" t="str">
        <f>IFERROR(VLOOKUP(O195, '[1]CURSOS 2025'!A:B, 2, FALSE), "")</f>
        <v/>
      </c>
      <c r="U195" s="39">
        <f t="shared" si="27"/>
        <v>0</v>
      </c>
    </row>
    <row r="196" spans="1:21" s="40" customFormat="1" ht="39.950000000000003" customHeight="1" thickBot="1" x14ac:dyDescent="0.35">
      <c r="A196" s="30">
        <f t="array" ref="A196">IF(B196&lt;&gt;"",COUNTIF($B$19:B196,"&lt;&gt;"),"")</f>
        <v>154</v>
      </c>
      <c r="B196" s="41">
        <v>248</v>
      </c>
      <c r="C196" s="42" t="s">
        <v>256</v>
      </c>
      <c r="D196" s="43">
        <v>205990</v>
      </c>
      <c r="E196" s="42" t="s">
        <v>406</v>
      </c>
      <c r="F196" s="49" t="s">
        <v>222</v>
      </c>
      <c r="G196" s="36" t="s">
        <v>407</v>
      </c>
      <c r="H196" s="44"/>
      <c r="I196" s="44"/>
      <c r="J196" s="44"/>
      <c r="K196" s="44"/>
      <c r="L196" s="44"/>
      <c r="M196" s="44"/>
      <c r="N196" s="36"/>
      <c r="O196" s="36"/>
      <c r="P196" s="45"/>
      <c r="Q196" s="45"/>
      <c r="R196" s="44"/>
      <c r="S196" s="46" t="s">
        <v>37</v>
      </c>
      <c r="T196" s="30" t="str">
        <f>IFERROR(VLOOKUP(O196, '[1]CURSOS 2025'!A:B, 2, FALSE), "")</f>
        <v/>
      </c>
      <c r="U196" s="39">
        <f t="shared" si="27"/>
        <v>0</v>
      </c>
    </row>
    <row r="197" spans="1:21" s="40" customFormat="1" ht="39.950000000000003" customHeight="1" thickBot="1" x14ac:dyDescent="0.35">
      <c r="A197" s="30">
        <f t="array" ref="A197">IF(B197&lt;&gt;"",COUNTIF($B$19:B197,"&lt;&gt;"),"")</f>
        <v>155</v>
      </c>
      <c r="B197" s="41">
        <v>248</v>
      </c>
      <c r="C197" s="42" t="s">
        <v>256</v>
      </c>
      <c r="D197" s="43">
        <v>20221</v>
      </c>
      <c r="E197" s="42" t="s">
        <v>408</v>
      </c>
      <c r="F197" s="49" t="s">
        <v>222</v>
      </c>
      <c r="G197" s="36" t="s">
        <v>409</v>
      </c>
      <c r="H197" s="44"/>
      <c r="I197" s="44"/>
      <c r="J197" s="44"/>
      <c r="K197" s="44"/>
      <c r="L197" s="44"/>
      <c r="M197" s="44"/>
      <c r="N197" s="36"/>
      <c r="O197" s="36"/>
      <c r="P197" s="45"/>
      <c r="Q197" s="45"/>
      <c r="R197" s="44"/>
      <c r="S197" s="46" t="s">
        <v>33</v>
      </c>
      <c r="T197" s="30" t="str">
        <f>IFERROR(VLOOKUP(O197, '[1]CURSOS 2025'!A:B, 2, FALSE), "")</f>
        <v/>
      </c>
      <c r="U197" s="39">
        <f t="shared" si="27"/>
        <v>0</v>
      </c>
    </row>
    <row r="198" spans="1:21" s="40" customFormat="1" ht="39.950000000000003" customHeight="1" thickBot="1" x14ac:dyDescent="0.35">
      <c r="A198" s="30">
        <f t="array" ref="A198">IF(B198&lt;&gt;"",COUNTIF($B$19:B198,"&lt;&gt;"),"")</f>
        <v>156</v>
      </c>
      <c r="B198" s="41">
        <v>248</v>
      </c>
      <c r="C198" s="42" t="s">
        <v>256</v>
      </c>
      <c r="D198" s="43">
        <v>205489</v>
      </c>
      <c r="E198" s="42" t="s">
        <v>410</v>
      </c>
      <c r="F198" s="49" t="s">
        <v>222</v>
      </c>
      <c r="G198" s="36" t="s">
        <v>411</v>
      </c>
      <c r="H198" s="44"/>
      <c r="I198" s="44"/>
      <c r="J198" s="44"/>
      <c r="K198" s="44"/>
      <c r="L198" s="44"/>
      <c r="M198" s="44"/>
      <c r="N198" s="36"/>
      <c r="O198" s="36"/>
      <c r="P198" s="45"/>
      <c r="Q198" s="45"/>
      <c r="R198" s="44"/>
      <c r="S198" s="46" t="s">
        <v>37</v>
      </c>
      <c r="T198" s="30" t="str">
        <f>IFERROR(VLOOKUP(O198, '[1]CURSOS 2025'!A:B, 2, FALSE), "")</f>
        <v/>
      </c>
      <c r="U198" s="39">
        <f t="shared" si="27"/>
        <v>0</v>
      </c>
    </row>
    <row r="199" spans="1:21" s="40" customFormat="1" ht="39.950000000000003" customHeight="1" thickBot="1" x14ac:dyDescent="0.35">
      <c r="A199" s="30">
        <f t="array" ref="A199">IF(B199&lt;&gt;"",COUNTIF($B$19:B199,"&lt;&gt;"),"")</f>
        <v>157</v>
      </c>
      <c r="B199" s="41">
        <v>248</v>
      </c>
      <c r="C199" s="42" t="s">
        <v>256</v>
      </c>
      <c r="D199" s="43">
        <v>205604</v>
      </c>
      <c r="E199" s="42" t="s">
        <v>412</v>
      </c>
      <c r="F199" s="49" t="s">
        <v>222</v>
      </c>
      <c r="G199" s="36" t="s">
        <v>413</v>
      </c>
      <c r="H199" s="44"/>
      <c r="I199" s="44"/>
      <c r="J199" s="44"/>
      <c r="K199" s="44"/>
      <c r="L199" s="44"/>
      <c r="M199" s="44"/>
      <c r="N199" s="36"/>
      <c r="O199" s="36"/>
      <c r="P199" s="45"/>
      <c r="Q199" s="45"/>
      <c r="R199" s="44"/>
      <c r="S199" s="46" t="s">
        <v>37</v>
      </c>
      <c r="T199" s="30" t="str">
        <f>IFERROR(VLOOKUP(O199, '[1]CURSOS 2025'!A:B, 2, FALSE), "")</f>
        <v/>
      </c>
      <c r="U199" s="39">
        <f t="shared" si="27"/>
        <v>0</v>
      </c>
    </row>
    <row r="200" spans="1:21" s="40" customFormat="1" ht="39.950000000000003" customHeight="1" thickBot="1" x14ac:dyDescent="0.35">
      <c r="A200" s="30">
        <f t="array" ref="A200">IF(B200&lt;&gt;"",COUNTIF($B$19:B200,"&lt;&gt;"),"")</f>
        <v>158</v>
      </c>
      <c r="B200" s="41">
        <v>248</v>
      </c>
      <c r="C200" s="42" t="s">
        <v>256</v>
      </c>
      <c r="D200" s="43">
        <v>20190</v>
      </c>
      <c r="E200" s="42" t="s">
        <v>414</v>
      </c>
      <c r="F200" s="49" t="s">
        <v>222</v>
      </c>
      <c r="G200" s="36" t="s">
        <v>415</v>
      </c>
      <c r="H200" s="44"/>
      <c r="I200" s="44"/>
      <c r="J200" s="44"/>
      <c r="K200" s="44"/>
      <c r="L200" s="44"/>
      <c r="M200" s="44"/>
      <c r="N200" s="36"/>
      <c r="O200" s="36"/>
      <c r="P200" s="45"/>
      <c r="Q200" s="45"/>
      <c r="R200" s="44"/>
      <c r="S200" s="44" t="s">
        <v>37</v>
      </c>
      <c r="T200" s="30" t="str">
        <f>IFERROR(VLOOKUP(O200, '[1]CURSOS 2025'!A:B, 2, FALSE), "")</f>
        <v/>
      </c>
      <c r="U200" s="48">
        <f t="shared" ref="U200" si="28">SUM(R200)</f>
        <v>0</v>
      </c>
    </row>
    <row r="201" spans="1:21" s="40" customFormat="1" ht="39.950000000000003" customHeight="1" thickBot="1" x14ac:dyDescent="0.35">
      <c r="A201" s="30">
        <f t="array" ref="A201">IF(B201&lt;&gt;"",COUNTIF($B$19:B201,"&lt;&gt;"),"")</f>
        <v>159</v>
      </c>
      <c r="B201" s="41">
        <v>248</v>
      </c>
      <c r="C201" s="42" t="s">
        <v>256</v>
      </c>
      <c r="D201" s="43">
        <v>20447</v>
      </c>
      <c r="E201" s="42" t="s">
        <v>416</v>
      </c>
      <c r="F201" s="49" t="s">
        <v>222</v>
      </c>
      <c r="G201" s="36" t="s">
        <v>417</v>
      </c>
      <c r="H201" s="44"/>
      <c r="I201" s="44"/>
      <c r="J201" s="44"/>
      <c r="K201" s="44"/>
      <c r="L201" s="44"/>
      <c r="M201" s="44"/>
      <c r="N201" s="36"/>
      <c r="O201" s="36"/>
      <c r="P201" s="45"/>
      <c r="Q201" s="45"/>
      <c r="R201" s="44"/>
      <c r="S201" s="46" t="s">
        <v>37</v>
      </c>
      <c r="T201" s="30" t="str">
        <f>IFERROR(VLOOKUP(O201, '[1]CURSOS 2025'!A:B, 2, FALSE), "")</f>
        <v/>
      </c>
      <c r="U201" s="39">
        <f>SUM(R201:R201)</f>
        <v>0</v>
      </c>
    </row>
    <row r="202" spans="1:21" s="40" customFormat="1" ht="30.75" customHeight="1" thickBot="1" x14ac:dyDescent="0.35">
      <c r="A202" s="30">
        <f t="array" ref="A202">IF(B202&lt;&gt;"",COUNTIF($B$19:B202,"&lt;&gt;"),"")</f>
        <v>160</v>
      </c>
      <c r="B202" s="41">
        <v>248</v>
      </c>
      <c r="C202" s="42" t="s">
        <v>256</v>
      </c>
      <c r="D202" s="43">
        <v>206094</v>
      </c>
      <c r="E202" s="42" t="s">
        <v>418</v>
      </c>
      <c r="F202" s="49" t="s">
        <v>222</v>
      </c>
      <c r="G202" s="36" t="s">
        <v>419</v>
      </c>
      <c r="H202" s="44"/>
      <c r="I202" s="44"/>
      <c r="J202" s="44"/>
      <c r="K202" s="216" t="s">
        <v>231</v>
      </c>
      <c r="L202" s="214" t="s">
        <v>231</v>
      </c>
      <c r="M202" s="214" t="s">
        <v>231</v>
      </c>
      <c r="N202" s="217" t="s">
        <v>1537</v>
      </c>
      <c r="O202" s="217" t="s">
        <v>1710</v>
      </c>
      <c r="P202" s="213">
        <v>46112</v>
      </c>
      <c r="Q202" s="213">
        <v>46112</v>
      </c>
      <c r="R202" s="214">
        <v>40</v>
      </c>
      <c r="S202" s="44" t="s">
        <v>33</v>
      </c>
      <c r="T202" s="30" t="s">
        <v>234</v>
      </c>
      <c r="U202" s="48">
        <f t="shared" ref="U202" si="29">SUM(R202)</f>
        <v>40</v>
      </c>
    </row>
    <row r="203" spans="1:21" s="40" customFormat="1" ht="30.75" customHeight="1" thickBot="1" x14ac:dyDescent="0.35">
      <c r="A203" s="30">
        <f t="array" ref="A203">IF(B203&lt;&gt;"",COUNTIF($B$19:B203,"&lt;&gt;"),"")</f>
        <v>161</v>
      </c>
      <c r="B203" s="41">
        <v>248</v>
      </c>
      <c r="C203" s="42" t="s">
        <v>256</v>
      </c>
      <c r="D203" s="43">
        <v>205583</v>
      </c>
      <c r="E203" s="42" t="s">
        <v>420</v>
      </c>
      <c r="F203" s="49" t="s">
        <v>222</v>
      </c>
      <c r="G203" s="36" t="s">
        <v>421</v>
      </c>
      <c r="H203" s="44"/>
      <c r="I203" s="44"/>
      <c r="J203" s="44"/>
      <c r="K203" s="44" t="s">
        <v>231</v>
      </c>
      <c r="L203" s="44" t="s">
        <v>231</v>
      </c>
      <c r="M203" s="44" t="s">
        <v>231</v>
      </c>
      <c r="N203" s="36" t="s">
        <v>232</v>
      </c>
      <c r="O203" s="36" t="s">
        <v>2297</v>
      </c>
      <c r="P203" s="45">
        <v>46108</v>
      </c>
      <c r="Q203" s="45">
        <v>46108</v>
      </c>
      <c r="R203" s="44">
        <v>10</v>
      </c>
      <c r="S203" s="44" t="s">
        <v>37</v>
      </c>
      <c r="T203" s="30" t="s">
        <v>234</v>
      </c>
      <c r="U203" s="221">
        <f>SUM(R203:R204)</f>
        <v>45</v>
      </c>
    </row>
    <row r="204" spans="1:21" s="40" customFormat="1" ht="30.75" customHeight="1" thickBot="1" x14ac:dyDescent="0.35">
      <c r="A204" s="30"/>
      <c r="B204" s="41"/>
      <c r="C204" s="42"/>
      <c r="D204" s="43"/>
      <c r="E204" s="42"/>
      <c r="F204" s="49"/>
      <c r="G204" s="36"/>
      <c r="H204" s="44"/>
      <c r="I204" s="44"/>
      <c r="J204" s="44"/>
      <c r="K204" s="44" t="s">
        <v>231</v>
      </c>
      <c r="L204" s="44" t="s">
        <v>231</v>
      </c>
      <c r="M204" s="44" t="s">
        <v>231</v>
      </c>
      <c r="N204" s="36" t="s">
        <v>1537</v>
      </c>
      <c r="O204" s="36" t="s">
        <v>2298</v>
      </c>
      <c r="P204" s="45">
        <v>46107</v>
      </c>
      <c r="Q204" s="45">
        <v>46107</v>
      </c>
      <c r="R204" s="44">
        <v>35</v>
      </c>
      <c r="S204" s="46" t="s">
        <v>37</v>
      </c>
      <c r="T204" s="30" t="s">
        <v>234</v>
      </c>
      <c r="U204" s="223"/>
    </row>
    <row r="205" spans="1:21" s="40" customFormat="1" ht="39.950000000000003" customHeight="1" thickBot="1" x14ac:dyDescent="0.35">
      <c r="A205" s="30">
        <f t="array" ref="A205">IF(B205&lt;&gt;"",COUNTIF($B$19:B205,"&lt;&gt;"),"")</f>
        <v>162</v>
      </c>
      <c r="B205" s="41">
        <v>248</v>
      </c>
      <c r="C205" s="42" t="s">
        <v>256</v>
      </c>
      <c r="D205" s="43">
        <v>205957</v>
      </c>
      <c r="E205" s="42" t="s">
        <v>422</v>
      </c>
      <c r="F205" s="49" t="s">
        <v>222</v>
      </c>
      <c r="G205" s="36" t="s">
        <v>423</v>
      </c>
      <c r="H205" s="44"/>
      <c r="I205" s="44"/>
      <c r="J205" s="44"/>
      <c r="K205" s="44"/>
      <c r="L205" s="44"/>
      <c r="M205" s="44"/>
      <c r="N205" s="36"/>
      <c r="O205" s="36"/>
      <c r="P205" s="45"/>
      <c r="Q205" s="45"/>
      <c r="R205" s="44"/>
      <c r="S205" s="46" t="s">
        <v>33</v>
      </c>
      <c r="T205" s="30" t="str">
        <f>IFERROR(VLOOKUP(O205, '[1]CURSOS 2025'!A:B, 2, FALSE), "")</f>
        <v/>
      </c>
      <c r="U205" s="39">
        <f>SUM(R205:R205)</f>
        <v>0</v>
      </c>
    </row>
    <row r="206" spans="1:21" s="40" customFormat="1" ht="39.950000000000003" customHeight="1" thickBot="1" x14ac:dyDescent="0.35">
      <c r="A206" s="30">
        <f t="array" ref="A206">IF(B206&lt;&gt;"",COUNTIF($B$19:B206,"&lt;&gt;"),"")</f>
        <v>163</v>
      </c>
      <c r="B206" s="41">
        <v>248</v>
      </c>
      <c r="C206" s="42" t="s">
        <v>256</v>
      </c>
      <c r="D206" s="43">
        <v>205932</v>
      </c>
      <c r="E206" s="42" t="s">
        <v>424</v>
      </c>
      <c r="F206" s="49" t="s">
        <v>222</v>
      </c>
      <c r="G206" s="36" t="s">
        <v>425</v>
      </c>
      <c r="H206" s="44"/>
      <c r="I206" s="44"/>
      <c r="J206" s="44"/>
      <c r="K206" s="44"/>
      <c r="L206" s="44"/>
      <c r="M206" s="44"/>
      <c r="N206" s="36"/>
      <c r="O206" s="36"/>
      <c r="P206" s="45"/>
      <c r="Q206" s="45"/>
      <c r="R206" s="44"/>
      <c r="S206" s="46" t="s">
        <v>33</v>
      </c>
      <c r="T206" s="30" t="str">
        <f>IFERROR(VLOOKUP(O206, '[1]CURSOS 2025'!A:B, 2, FALSE), "")</f>
        <v/>
      </c>
      <c r="U206" s="39">
        <f>SUM(R206)</f>
        <v>0</v>
      </c>
    </row>
    <row r="207" spans="1:21" s="40" customFormat="1" ht="39.950000000000003" customHeight="1" thickBot="1" x14ac:dyDescent="0.35">
      <c r="A207" s="30">
        <f t="array" ref="A207">IF(B207&lt;&gt;"",COUNTIF($B$19:B207,"&lt;&gt;"),"")</f>
        <v>164</v>
      </c>
      <c r="B207" s="41">
        <v>248</v>
      </c>
      <c r="C207" s="42" t="s">
        <v>256</v>
      </c>
      <c r="D207" s="43">
        <v>206206</v>
      </c>
      <c r="E207" s="42" t="s">
        <v>426</v>
      </c>
      <c r="F207" s="49" t="s">
        <v>222</v>
      </c>
      <c r="G207" s="36" t="s">
        <v>427</v>
      </c>
      <c r="H207" s="44"/>
      <c r="I207" s="44"/>
      <c r="J207" s="44"/>
      <c r="K207" s="44"/>
      <c r="L207" s="44"/>
      <c r="M207" s="44"/>
      <c r="N207" s="36"/>
      <c r="O207" s="36"/>
      <c r="P207" s="45"/>
      <c r="Q207" s="45"/>
      <c r="R207" s="44"/>
      <c r="S207" s="46" t="s">
        <v>37</v>
      </c>
      <c r="T207" s="30" t="str">
        <f>IFERROR(VLOOKUP(O207, '[1]CURSOS 2025'!A:B, 2, FALSE), "")</f>
        <v/>
      </c>
      <c r="U207" s="39">
        <f>SUM(R207:R207)</f>
        <v>0</v>
      </c>
    </row>
    <row r="208" spans="1:21" s="40" customFormat="1" ht="30.75" customHeight="1" thickBot="1" x14ac:dyDescent="0.35">
      <c r="A208" s="30">
        <f t="array" ref="A208">IF(B208&lt;&gt;"",COUNTIF($B$19:B208,"&lt;&gt;"),"")</f>
        <v>165</v>
      </c>
      <c r="B208" s="41">
        <v>247</v>
      </c>
      <c r="C208" s="42" t="s">
        <v>256</v>
      </c>
      <c r="D208" s="43">
        <v>205979</v>
      </c>
      <c r="E208" s="42" t="s">
        <v>428</v>
      </c>
      <c r="F208" s="49" t="s">
        <v>222</v>
      </c>
      <c r="G208" s="36" t="s">
        <v>429</v>
      </c>
      <c r="H208" s="44"/>
      <c r="I208" s="44"/>
      <c r="J208" s="44"/>
      <c r="K208" s="44"/>
      <c r="L208" s="44"/>
      <c r="M208" s="44"/>
      <c r="N208" s="36"/>
      <c r="O208" s="36"/>
      <c r="P208" s="45"/>
      <c r="Q208" s="45"/>
      <c r="R208" s="44"/>
      <c r="S208" s="44" t="s">
        <v>37</v>
      </c>
      <c r="T208" s="30" t="str">
        <f>IFERROR(VLOOKUP(O208, '[1]CURSOS 2025'!A:B, 2, FALSE), "")</f>
        <v/>
      </c>
      <c r="U208" s="48">
        <f t="shared" ref="U208:U209" si="30">SUM(R208)</f>
        <v>0</v>
      </c>
    </row>
    <row r="209" spans="1:21" s="40" customFormat="1" ht="30.75" customHeight="1" thickBot="1" x14ac:dyDescent="0.35">
      <c r="A209" s="30">
        <f t="array" ref="A209">IF(B209&lt;&gt;"",COUNTIF($B$19:B209,"&lt;&gt;"),"")</f>
        <v>166</v>
      </c>
      <c r="B209" s="41">
        <v>247</v>
      </c>
      <c r="C209" s="42" t="s">
        <v>291</v>
      </c>
      <c r="D209" s="43">
        <v>20227</v>
      </c>
      <c r="E209" s="42" t="s">
        <v>430</v>
      </c>
      <c r="F209" s="49" t="s">
        <v>222</v>
      </c>
      <c r="G209" s="36" t="s">
        <v>431</v>
      </c>
      <c r="H209" s="44"/>
      <c r="I209" s="44"/>
      <c r="J209" s="44"/>
      <c r="K209" s="44"/>
      <c r="L209" s="44"/>
      <c r="M209" s="44"/>
      <c r="N209" s="36"/>
      <c r="O209" s="36"/>
      <c r="P209" s="45"/>
      <c r="Q209" s="45"/>
      <c r="R209" s="44"/>
      <c r="S209" s="44" t="s">
        <v>37</v>
      </c>
      <c r="T209" s="30" t="str">
        <f>IFERROR(VLOOKUP(O209, '[1]CURSOS 2025'!A:B, 2, FALSE), "")</f>
        <v/>
      </c>
      <c r="U209" s="48">
        <f t="shared" si="30"/>
        <v>0</v>
      </c>
    </row>
    <row r="210" spans="1:21" s="40" customFormat="1" ht="39.950000000000003" customHeight="1" thickBot="1" x14ac:dyDescent="0.35">
      <c r="A210" s="30">
        <f t="array" ref="A210">IF(B210&lt;&gt;"",COUNTIF($B$19:B210,"&lt;&gt;"),"")</f>
        <v>167</v>
      </c>
      <c r="B210" s="41">
        <v>247</v>
      </c>
      <c r="C210" s="42" t="s">
        <v>256</v>
      </c>
      <c r="D210" s="43">
        <v>205484</v>
      </c>
      <c r="E210" s="42" t="s">
        <v>432</v>
      </c>
      <c r="F210" s="49" t="s">
        <v>222</v>
      </c>
      <c r="G210" s="36" t="s">
        <v>433</v>
      </c>
      <c r="H210" s="44"/>
      <c r="I210" s="44"/>
      <c r="J210" s="44"/>
      <c r="K210" s="44"/>
      <c r="L210" s="44"/>
      <c r="M210" s="44"/>
      <c r="N210" s="36"/>
      <c r="O210" s="36"/>
      <c r="P210" s="45"/>
      <c r="Q210" s="45"/>
      <c r="R210" s="44"/>
      <c r="S210" s="46" t="s">
        <v>37</v>
      </c>
      <c r="T210" s="30" t="str">
        <f>IFERROR(VLOOKUP(O210, '[1]CURSOS 2025'!A:B, 2, FALSE), "")</f>
        <v/>
      </c>
      <c r="U210" s="39">
        <f>SUM(R210:R210)</f>
        <v>0</v>
      </c>
    </row>
    <row r="211" spans="1:21" s="40" customFormat="1" ht="39.950000000000003" customHeight="1" thickBot="1" x14ac:dyDescent="0.35">
      <c r="A211" s="30">
        <f t="array" ref="A211">IF(B211&lt;&gt;"",COUNTIF($B$19:B211,"&lt;&gt;"),"")</f>
        <v>168</v>
      </c>
      <c r="B211" s="41">
        <v>247</v>
      </c>
      <c r="C211" s="42" t="s">
        <v>256</v>
      </c>
      <c r="D211" s="43">
        <v>205881</v>
      </c>
      <c r="E211" s="42" t="s">
        <v>434</v>
      </c>
      <c r="F211" s="49" t="s">
        <v>222</v>
      </c>
      <c r="G211" s="36" t="s">
        <v>435</v>
      </c>
      <c r="H211" s="44"/>
      <c r="I211" s="44"/>
      <c r="J211" s="44"/>
      <c r="K211" s="44"/>
      <c r="L211" s="44"/>
      <c r="M211" s="44"/>
      <c r="N211" s="36"/>
      <c r="O211" s="36"/>
      <c r="P211" s="45"/>
      <c r="Q211" s="45"/>
      <c r="R211" s="44"/>
      <c r="S211" s="46" t="s">
        <v>37</v>
      </c>
      <c r="T211" s="30" t="str">
        <f>IFERROR(VLOOKUP(O211, '[1]CURSOS 2025'!A:B, 2, FALSE), "")</f>
        <v/>
      </c>
      <c r="U211" s="39">
        <f>SUM(R211:R211)</f>
        <v>0</v>
      </c>
    </row>
    <row r="212" spans="1:21" s="40" customFormat="1" ht="39.950000000000003" customHeight="1" thickBot="1" x14ac:dyDescent="0.35">
      <c r="A212" s="30">
        <f t="array" ref="A212">IF(B212&lt;&gt;"",COUNTIF($B$19:B212,"&lt;&gt;"),"")</f>
        <v>169</v>
      </c>
      <c r="B212" s="41">
        <v>247</v>
      </c>
      <c r="C212" s="42" t="s">
        <v>256</v>
      </c>
      <c r="D212" s="43">
        <v>205835</v>
      </c>
      <c r="E212" s="42" t="s">
        <v>436</v>
      </c>
      <c r="F212" s="49" t="s">
        <v>222</v>
      </c>
      <c r="G212" s="36" t="s">
        <v>437</v>
      </c>
      <c r="H212" s="44"/>
      <c r="I212" s="44"/>
      <c r="J212" s="44"/>
      <c r="K212" s="44" t="s">
        <v>231</v>
      </c>
      <c r="L212" s="44" t="s">
        <v>231</v>
      </c>
      <c r="M212" s="44" t="s">
        <v>231</v>
      </c>
      <c r="N212" s="36" t="s">
        <v>232</v>
      </c>
      <c r="O212" s="36" t="s">
        <v>1723</v>
      </c>
      <c r="P212" s="45">
        <v>46101</v>
      </c>
      <c r="Q212" s="45">
        <v>46101</v>
      </c>
      <c r="R212" s="44">
        <v>30</v>
      </c>
      <c r="S212" s="46" t="s">
        <v>37</v>
      </c>
      <c r="T212" s="30" t="s">
        <v>234</v>
      </c>
      <c r="U212" s="39">
        <f>SUM(R212:R213)</f>
        <v>60</v>
      </c>
    </row>
    <row r="213" spans="1:21" s="40" customFormat="1" ht="39.950000000000003" customHeight="1" thickBot="1" x14ac:dyDescent="0.35">
      <c r="A213" s="30" t="str">
        <f t="array" ref="A213">IF(B213&lt;&gt;"",COUNTIF($B$19:B213,"&lt;&gt;"),"")</f>
        <v/>
      </c>
      <c r="B213" s="41"/>
      <c r="C213" s="42"/>
      <c r="D213" s="43"/>
      <c r="E213" s="42"/>
      <c r="F213" s="49"/>
      <c r="G213" s="36"/>
      <c r="H213" s="44"/>
      <c r="I213" s="44"/>
      <c r="J213" s="44"/>
      <c r="K213" s="44" t="s">
        <v>231</v>
      </c>
      <c r="L213" s="44" t="s">
        <v>231</v>
      </c>
      <c r="M213" s="44" t="s">
        <v>231</v>
      </c>
      <c r="N213" s="36" t="s">
        <v>232</v>
      </c>
      <c r="O213" s="36" t="s">
        <v>1711</v>
      </c>
      <c r="P213" s="45">
        <v>46101</v>
      </c>
      <c r="Q213" s="45">
        <v>46101</v>
      </c>
      <c r="R213" s="44">
        <v>30</v>
      </c>
      <c r="S213" s="46" t="s">
        <v>37</v>
      </c>
      <c r="T213" s="30" t="s">
        <v>234</v>
      </c>
      <c r="U213" s="105"/>
    </row>
    <row r="214" spans="1:21" s="40" customFormat="1" ht="68.25" customHeight="1" thickBot="1" x14ac:dyDescent="0.35">
      <c r="A214" s="30">
        <f t="array" ref="A214">IF(B214&lt;&gt;"",COUNTIF($B$19:B214,"&lt;&gt;"),"")</f>
        <v>170</v>
      </c>
      <c r="B214" s="41">
        <v>247</v>
      </c>
      <c r="C214" s="42" t="s">
        <v>256</v>
      </c>
      <c r="D214" s="43">
        <v>205998</v>
      </c>
      <c r="E214" s="42" t="s">
        <v>438</v>
      </c>
      <c r="F214" s="49" t="s">
        <v>222</v>
      </c>
      <c r="G214" s="36" t="s">
        <v>439</v>
      </c>
      <c r="H214" s="44"/>
      <c r="I214" s="44"/>
      <c r="J214" s="44"/>
      <c r="K214" s="44"/>
      <c r="L214" s="44"/>
      <c r="M214" s="44"/>
      <c r="N214" s="36"/>
      <c r="O214" s="36"/>
      <c r="P214" s="45"/>
      <c r="Q214" s="45"/>
      <c r="R214" s="44"/>
      <c r="S214" s="44" t="s">
        <v>33</v>
      </c>
      <c r="T214" s="30" t="str">
        <f>IFERROR(VLOOKUP(O214, '[1]CURSOS 2025'!A:B, 2, FALSE), "")</f>
        <v/>
      </c>
      <c r="U214" s="48">
        <f t="shared" ref="U214" si="31">SUM(R214)</f>
        <v>0</v>
      </c>
    </row>
    <row r="215" spans="1:21" s="40" customFormat="1" ht="39.950000000000003" customHeight="1" thickBot="1" x14ac:dyDescent="0.35">
      <c r="A215" s="30">
        <f t="array" ref="A215">IF(B215&lt;&gt;"",COUNTIF($B$19:B215,"&lt;&gt;"),"")</f>
        <v>171</v>
      </c>
      <c r="B215" s="41">
        <v>247</v>
      </c>
      <c r="C215" s="42" t="s">
        <v>256</v>
      </c>
      <c r="D215" s="43">
        <v>205910</v>
      </c>
      <c r="E215" s="42" t="s">
        <v>440</v>
      </c>
      <c r="F215" s="49" t="s">
        <v>222</v>
      </c>
      <c r="G215" s="36" t="s">
        <v>441</v>
      </c>
      <c r="H215" s="44"/>
      <c r="I215" s="44"/>
      <c r="J215" s="44"/>
      <c r="K215" s="44"/>
      <c r="L215" s="44"/>
      <c r="M215" s="44"/>
      <c r="N215" s="36"/>
      <c r="O215" s="36"/>
      <c r="P215" s="45"/>
      <c r="Q215" s="45"/>
      <c r="R215" s="44"/>
      <c r="S215" s="46" t="s">
        <v>33</v>
      </c>
      <c r="T215" s="30" t="str">
        <f>IFERROR(VLOOKUP(O215, '[1]CURSOS 2025'!A:B, 2, FALSE), "")</f>
        <v/>
      </c>
      <c r="U215" s="39">
        <f>SUM(R215:R215)</f>
        <v>0</v>
      </c>
    </row>
    <row r="216" spans="1:21" s="40" customFormat="1" ht="57" customHeight="1" thickBot="1" x14ac:dyDescent="0.35">
      <c r="A216" s="30">
        <f t="array" ref="A216">IF(B216&lt;&gt;"",COUNTIF($B$19:B216,"&lt;&gt;"),"")</f>
        <v>172</v>
      </c>
      <c r="B216" s="41">
        <v>247</v>
      </c>
      <c r="C216" s="42" t="s">
        <v>256</v>
      </c>
      <c r="D216" s="43">
        <v>206120</v>
      </c>
      <c r="E216" s="42" t="s">
        <v>442</v>
      </c>
      <c r="F216" s="49" t="s">
        <v>222</v>
      </c>
      <c r="G216" s="36" t="s">
        <v>443</v>
      </c>
      <c r="H216" s="44"/>
      <c r="I216" s="44"/>
      <c r="J216" s="44"/>
      <c r="K216" s="44"/>
      <c r="L216" s="44"/>
      <c r="M216" s="44"/>
      <c r="N216" s="36"/>
      <c r="O216" s="36"/>
      <c r="P216" s="45"/>
      <c r="Q216" s="45"/>
      <c r="R216" s="44"/>
      <c r="S216" s="44" t="s">
        <v>37</v>
      </c>
      <c r="T216" s="30" t="str">
        <f>IFERROR(VLOOKUP(O216, '[1]CURSOS 2025'!A:B, 2, FALSE), "")</f>
        <v/>
      </c>
      <c r="U216" s="48">
        <f t="shared" ref="U216" si="32">SUM(R216)</f>
        <v>0</v>
      </c>
    </row>
    <row r="217" spans="1:21" s="40" customFormat="1" ht="47.25" customHeight="1" thickBot="1" x14ac:dyDescent="0.35">
      <c r="A217" s="30">
        <f t="array" ref="A217">IF(B217&lt;&gt;"",COUNTIF($B$19:B217,"&lt;&gt;"),"")</f>
        <v>173</v>
      </c>
      <c r="B217" s="41">
        <v>247</v>
      </c>
      <c r="C217" s="42" t="s">
        <v>256</v>
      </c>
      <c r="D217" s="43">
        <v>205791</v>
      </c>
      <c r="E217" s="42" t="s">
        <v>444</v>
      </c>
      <c r="F217" s="49" t="s">
        <v>222</v>
      </c>
      <c r="G217" s="36" t="s">
        <v>445</v>
      </c>
      <c r="H217" s="44"/>
      <c r="I217" s="44"/>
      <c r="J217" s="44"/>
      <c r="K217" s="44" t="s">
        <v>231</v>
      </c>
      <c r="L217" s="44" t="s">
        <v>231</v>
      </c>
      <c r="M217" s="44" t="s">
        <v>231</v>
      </c>
      <c r="N217" s="36" t="s">
        <v>232</v>
      </c>
      <c r="O217" s="36" t="s">
        <v>233</v>
      </c>
      <c r="P217" s="45">
        <v>46154</v>
      </c>
      <c r="Q217" s="45">
        <v>46154</v>
      </c>
      <c r="R217" s="44">
        <v>40</v>
      </c>
      <c r="S217" s="46" t="s">
        <v>37</v>
      </c>
      <c r="T217" s="30" t="s">
        <v>234</v>
      </c>
      <c r="U217" s="39">
        <f t="shared" ref="U217:U233" si="33">SUM(R217:R217)</f>
        <v>40</v>
      </c>
    </row>
    <row r="218" spans="1:21" s="40" customFormat="1" ht="39.950000000000003" customHeight="1" thickBot="1" x14ac:dyDescent="0.35">
      <c r="A218" s="30">
        <f t="array" ref="A218">IF(B218&lt;&gt;"",COUNTIF($B$19:B218,"&lt;&gt;"),"")</f>
        <v>174</v>
      </c>
      <c r="B218" s="41">
        <v>247</v>
      </c>
      <c r="C218" s="42" t="s">
        <v>256</v>
      </c>
      <c r="D218" s="43">
        <v>206083</v>
      </c>
      <c r="E218" s="42" t="s">
        <v>446</v>
      </c>
      <c r="F218" s="49" t="s">
        <v>222</v>
      </c>
      <c r="G218" s="36" t="s">
        <v>447</v>
      </c>
      <c r="H218" s="44"/>
      <c r="I218" s="44"/>
      <c r="J218" s="44"/>
      <c r="K218" s="44" t="s">
        <v>231</v>
      </c>
      <c r="L218" s="44" t="s">
        <v>231</v>
      </c>
      <c r="M218" s="44" t="s">
        <v>231</v>
      </c>
      <c r="N218" s="36" t="s">
        <v>232</v>
      </c>
      <c r="O218" s="36" t="s">
        <v>2317</v>
      </c>
      <c r="P218" s="45">
        <v>46130</v>
      </c>
      <c r="Q218" s="45">
        <v>46130</v>
      </c>
      <c r="R218" s="44">
        <v>20</v>
      </c>
      <c r="S218" s="46" t="s">
        <v>37</v>
      </c>
      <c r="T218" s="30" t="s">
        <v>234</v>
      </c>
      <c r="U218" s="39">
        <f t="shared" si="33"/>
        <v>20</v>
      </c>
    </row>
    <row r="219" spans="1:21" s="40" customFormat="1" ht="39.950000000000003" customHeight="1" thickBot="1" x14ac:dyDescent="0.35">
      <c r="A219" s="30"/>
      <c r="B219" s="41"/>
      <c r="C219" s="42"/>
      <c r="D219" s="43"/>
      <c r="E219" s="42"/>
      <c r="F219" s="49"/>
      <c r="G219" s="36"/>
      <c r="H219" s="44"/>
      <c r="I219" s="44"/>
      <c r="J219" s="44"/>
      <c r="K219" s="44" t="s">
        <v>231</v>
      </c>
      <c r="L219" s="44" t="s">
        <v>231</v>
      </c>
      <c r="M219" s="44" t="s">
        <v>231</v>
      </c>
      <c r="N219" s="36" t="s">
        <v>232</v>
      </c>
      <c r="O219" s="36" t="s">
        <v>2318</v>
      </c>
      <c r="P219" s="45">
        <v>46131</v>
      </c>
      <c r="Q219" s="45">
        <v>46131</v>
      </c>
      <c r="R219" s="44">
        <v>20</v>
      </c>
      <c r="S219" s="46" t="s">
        <v>37</v>
      </c>
      <c r="T219" s="30" t="s">
        <v>234</v>
      </c>
      <c r="U219" s="218">
        <v>20</v>
      </c>
    </row>
    <row r="220" spans="1:21" s="40" customFormat="1" ht="39.950000000000003" customHeight="1" thickBot="1" x14ac:dyDescent="0.35">
      <c r="A220" s="30">
        <f t="array" ref="A220">IF(B220&lt;&gt;"",COUNTIF($B$19:B220,"&lt;&gt;"),"")</f>
        <v>175</v>
      </c>
      <c r="B220" s="41">
        <v>247</v>
      </c>
      <c r="C220" s="42" t="s">
        <v>256</v>
      </c>
      <c r="D220" s="43">
        <v>205832</v>
      </c>
      <c r="E220" s="42" t="s">
        <v>448</v>
      </c>
      <c r="F220" s="49" t="s">
        <v>222</v>
      </c>
      <c r="G220" s="36" t="s">
        <v>449</v>
      </c>
      <c r="H220" s="44"/>
      <c r="I220" s="44"/>
      <c r="J220" s="44"/>
      <c r="K220" s="44" t="s">
        <v>231</v>
      </c>
      <c r="L220" s="44" t="s">
        <v>231</v>
      </c>
      <c r="M220" s="44" t="s">
        <v>231</v>
      </c>
      <c r="N220" s="36" t="s">
        <v>232</v>
      </c>
      <c r="O220" s="36" t="s">
        <v>1710</v>
      </c>
      <c r="P220" s="45" t="s">
        <v>2321</v>
      </c>
      <c r="Q220" s="45" t="s">
        <v>2322</v>
      </c>
      <c r="R220" s="44">
        <v>40</v>
      </c>
      <c r="S220" s="46" t="s">
        <v>37</v>
      </c>
      <c r="T220" s="30" t="s">
        <v>234</v>
      </c>
      <c r="U220" s="39">
        <f t="shared" si="33"/>
        <v>40</v>
      </c>
    </row>
    <row r="221" spans="1:21" s="40" customFormat="1" ht="39.950000000000003" customHeight="1" thickBot="1" x14ac:dyDescent="0.35">
      <c r="A221" s="30">
        <f t="array" ref="A221">IF(B221&lt;&gt;"",COUNTIF($B$19:B221,"&lt;&gt;"),"")</f>
        <v>176</v>
      </c>
      <c r="B221" s="41">
        <v>247</v>
      </c>
      <c r="C221" s="42" t="s">
        <v>256</v>
      </c>
      <c r="D221" s="43">
        <v>20814</v>
      </c>
      <c r="E221" s="42" t="s">
        <v>450</v>
      </c>
      <c r="F221" s="49" t="s">
        <v>222</v>
      </c>
      <c r="G221" s="36" t="s">
        <v>451</v>
      </c>
      <c r="H221" s="44"/>
      <c r="I221" s="44"/>
      <c r="J221" s="44"/>
      <c r="K221" s="44" t="s">
        <v>231</v>
      </c>
      <c r="L221" s="44" t="s">
        <v>231</v>
      </c>
      <c r="M221" s="44" t="s">
        <v>231</v>
      </c>
      <c r="N221" s="36" t="s">
        <v>232</v>
      </c>
      <c r="O221" s="36" t="s">
        <v>1710</v>
      </c>
      <c r="P221" s="45">
        <v>46150</v>
      </c>
      <c r="Q221" s="45">
        <v>46150</v>
      </c>
      <c r="R221" s="44">
        <v>40</v>
      </c>
      <c r="S221" s="46" t="s">
        <v>37</v>
      </c>
      <c r="T221" s="30" t="s">
        <v>234</v>
      </c>
      <c r="U221" s="39">
        <f t="shared" si="33"/>
        <v>40</v>
      </c>
    </row>
    <row r="222" spans="1:21" s="40" customFormat="1" ht="39.950000000000003" customHeight="1" thickBot="1" x14ac:dyDescent="0.35">
      <c r="A222" s="30">
        <f t="array" ref="A222">IF(B222&lt;&gt;"",COUNTIF($B$19:B222,"&lt;&gt;"),"")</f>
        <v>177</v>
      </c>
      <c r="B222" s="41">
        <v>247</v>
      </c>
      <c r="C222" s="42" t="s">
        <v>256</v>
      </c>
      <c r="D222" s="43">
        <v>205798</v>
      </c>
      <c r="E222" s="42" t="s">
        <v>452</v>
      </c>
      <c r="F222" s="49" t="s">
        <v>222</v>
      </c>
      <c r="G222" s="36" t="s">
        <v>453</v>
      </c>
      <c r="H222" s="44"/>
      <c r="I222" s="44"/>
      <c r="J222" s="44"/>
      <c r="K222" s="44" t="s">
        <v>231</v>
      </c>
      <c r="L222" s="44" t="s">
        <v>231</v>
      </c>
      <c r="M222" s="44" t="s">
        <v>231</v>
      </c>
      <c r="N222" s="36" t="s">
        <v>232</v>
      </c>
      <c r="O222" s="36" t="s">
        <v>233</v>
      </c>
      <c r="P222" s="45" t="s">
        <v>2329</v>
      </c>
      <c r="Q222" s="45"/>
      <c r="R222" s="44">
        <v>40</v>
      </c>
      <c r="S222" s="46" t="s">
        <v>37</v>
      </c>
      <c r="T222" s="30" t="s">
        <v>234</v>
      </c>
      <c r="U222" s="39">
        <f t="shared" si="33"/>
        <v>40</v>
      </c>
    </row>
    <row r="223" spans="1:21" s="40" customFormat="1" ht="39.950000000000003" customHeight="1" thickBot="1" x14ac:dyDescent="0.35">
      <c r="A223" s="30">
        <f t="array" ref="A223">IF(B223&lt;&gt;"",COUNTIF($B$19:B223,"&lt;&gt;"),"")</f>
        <v>178</v>
      </c>
      <c r="B223" s="41">
        <v>247</v>
      </c>
      <c r="C223" s="42" t="s">
        <v>256</v>
      </c>
      <c r="D223" s="43">
        <v>205597</v>
      </c>
      <c r="E223" s="42" t="s">
        <v>454</v>
      </c>
      <c r="F223" s="49" t="s">
        <v>222</v>
      </c>
      <c r="G223" s="36" t="s">
        <v>455</v>
      </c>
      <c r="H223" s="44"/>
      <c r="I223" s="44"/>
      <c r="J223" s="44"/>
      <c r="K223" s="44" t="s">
        <v>231</v>
      </c>
      <c r="L223" s="44" t="s">
        <v>231</v>
      </c>
      <c r="M223" s="44" t="s">
        <v>231</v>
      </c>
      <c r="N223" s="36" t="s">
        <v>232</v>
      </c>
      <c r="O223" s="36" t="s">
        <v>1710</v>
      </c>
      <c r="P223" s="45">
        <v>46149</v>
      </c>
      <c r="Q223" s="45">
        <v>46149</v>
      </c>
      <c r="R223" s="44">
        <v>40</v>
      </c>
      <c r="S223" s="46" t="s">
        <v>37</v>
      </c>
      <c r="T223" s="30" t="s">
        <v>234</v>
      </c>
      <c r="U223" s="39">
        <f t="shared" si="33"/>
        <v>40</v>
      </c>
    </row>
    <row r="224" spans="1:21" s="40" customFormat="1" ht="39.950000000000003" customHeight="1" thickBot="1" x14ac:dyDescent="0.35">
      <c r="A224" s="30"/>
      <c r="B224" s="41"/>
      <c r="C224" s="42"/>
      <c r="D224" s="43"/>
      <c r="E224" s="42"/>
      <c r="F224" s="49"/>
      <c r="G224" s="36"/>
      <c r="H224" s="44"/>
      <c r="I224" s="44"/>
      <c r="J224" s="44"/>
      <c r="K224" s="44"/>
      <c r="L224" s="44"/>
      <c r="M224" s="44"/>
      <c r="N224" s="36"/>
      <c r="O224" s="36"/>
      <c r="P224" s="45"/>
      <c r="Q224" s="45"/>
      <c r="R224" s="44"/>
      <c r="S224" s="46"/>
      <c r="T224" s="30"/>
      <c r="U224" s="220"/>
    </row>
    <row r="225" spans="1:21" s="40" customFormat="1" ht="30.75" customHeight="1" thickBot="1" x14ac:dyDescent="0.35">
      <c r="A225" s="30">
        <f t="array" ref="A225">IF(B225&lt;&gt;"",COUNTIF($B$19:B225,"&lt;&gt;"),"")</f>
        <v>179</v>
      </c>
      <c r="B225" s="41">
        <v>247</v>
      </c>
      <c r="C225" s="42" t="s">
        <v>256</v>
      </c>
      <c r="D225" s="43">
        <v>205758</v>
      </c>
      <c r="E225" s="42" t="s">
        <v>456</v>
      </c>
      <c r="F225" s="49" t="s">
        <v>222</v>
      </c>
      <c r="G225" s="36" t="s">
        <v>457</v>
      </c>
      <c r="H225" s="44"/>
      <c r="I225" s="44"/>
      <c r="J225" s="44"/>
      <c r="K225" s="44"/>
      <c r="L225" s="44"/>
      <c r="M225" s="44"/>
      <c r="N225" s="36"/>
      <c r="O225" s="36"/>
      <c r="P225" s="45"/>
      <c r="Q225" s="45"/>
      <c r="R225" s="44"/>
      <c r="S225" s="46" t="s">
        <v>37</v>
      </c>
      <c r="T225" s="30" t="str">
        <f>IFERROR(VLOOKUP(O225, '[1]CURSOS 2025'!A:B, 2, FALSE), "")</f>
        <v/>
      </c>
      <c r="U225" s="39">
        <f t="shared" si="33"/>
        <v>0</v>
      </c>
    </row>
    <row r="226" spans="1:21" s="40" customFormat="1" ht="39.950000000000003" customHeight="1" thickBot="1" x14ac:dyDescent="0.35">
      <c r="A226" s="30">
        <f t="array" ref="A226">IF(B226&lt;&gt;"",COUNTIF($B$19:B226,"&lt;&gt;"),"")</f>
        <v>180</v>
      </c>
      <c r="B226" s="41">
        <v>247</v>
      </c>
      <c r="C226" s="42" t="s">
        <v>256</v>
      </c>
      <c r="D226" s="43">
        <v>206075</v>
      </c>
      <c r="E226" s="42" t="s">
        <v>458</v>
      </c>
      <c r="F226" s="49" t="s">
        <v>222</v>
      </c>
      <c r="G226" s="36" t="s">
        <v>459</v>
      </c>
      <c r="H226" s="44"/>
      <c r="I226" s="44"/>
      <c r="J226" s="44"/>
      <c r="K226" s="44"/>
      <c r="L226" s="44"/>
      <c r="M226" s="44"/>
      <c r="N226" s="36"/>
      <c r="O226" s="36"/>
      <c r="P226" s="45"/>
      <c r="Q226" s="45"/>
      <c r="R226" s="44"/>
      <c r="S226" s="46" t="s">
        <v>37</v>
      </c>
      <c r="T226" s="30" t="str">
        <f>IFERROR(VLOOKUP(O226, '[1]CURSOS 2025'!A:B, 2, FALSE), "")</f>
        <v/>
      </c>
      <c r="U226" s="39">
        <f t="shared" si="33"/>
        <v>0</v>
      </c>
    </row>
    <row r="227" spans="1:21" s="40" customFormat="1" ht="39.950000000000003" customHeight="1" thickBot="1" x14ac:dyDescent="0.35">
      <c r="A227" s="30">
        <f t="array" ref="A227">IF(B227&lt;&gt;"",COUNTIF($B$19:B227,"&lt;&gt;"),"")</f>
        <v>181</v>
      </c>
      <c r="B227" s="41">
        <v>247</v>
      </c>
      <c r="C227" s="42" t="s">
        <v>141</v>
      </c>
      <c r="D227" s="43">
        <v>20191</v>
      </c>
      <c r="E227" s="42" t="s">
        <v>460</v>
      </c>
      <c r="F227" s="49" t="s">
        <v>222</v>
      </c>
      <c r="G227" s="36" t="s">
        <v>461</v>
      </c>
      <c r="H227" s="44"/>
      <c r="I227" s="44"/>
      <c r="J227" s="44"/>
      <c r="K227" s="44" t="s">
        <v>231</v>
      </c>
      <c r="L227" s="44" t="s">
        <v>231</v>
      </c>
      <c r="M227" s="44" t="s">
        <v>231</v>
      </c>
      <c r="N227" s="36" t="s">
        <v>232</v>
      </c>
      <c r="O227" s="36" t="s">
        <v>233</v>
      </c>
      <c r="P227" s="45">
        <v>46121</v>
      </c>
      <c r="Q227" s="45">
        <v>46121</v>
      </c>
      <c r="R227" s="44">
        <v>40</v>
      </c>
      <c r="S227" s="46" t="s">
        <v>37</v>
      </c>
      <c r="T227" s="30" t="s">
        <v>234</v>
      </c>
      <c r="U227" s="39">
        <f t="shared" si="33"/>
        <v>40</v>
      </c>
    </row>
    <row r="228" spans="1:21" s="40" customFormat="1" ht="39.950000000000003" customHeight="1" thickBot="1" x14ac:dyDescent="0.35">
      <c r="A228" s="30">
        <f t="array" ref="A228">IF(B228&lt;&gt;"",COUNTIF($B$19:B228,"&lt;&gt;"),"")</f>
        <v>182</v>
      </c>
      <c r="B228" s="41">
        <v>247</v>
      </c>
      <c r="C228" s="42" t="s">
        <v>45</v>
      </c>
      <c r="D228" s="43" t="s">
        <v>462</v>
      </c>
      <c r="E228" s="42" t="s">
        <v>463</v>
      </c>
      <c r="F228" s="49" t="s">
        <v>222</v>
      </c>
      <c r="G228" s="36" t="s">
        <v>464</v>
      </c>
      <c r="H228" s="44"/>
      <c r="I228" s="44"/>
      <c r="J228" s="44"/>
      <c r="K228" s="44"/>
      <c r="L228" s="44"/>
      <c r="M228" s="44"/>
      <c r="N228" s="36"/>
      <c r="O228" s="36"/>
      <c r="P228" s="45"/>
      <c r="Q228" s="45"/>
      <c r="R228" s="44"/>
      <c r="S228" s="46" t="s">
        <v>33</v>
      </c>
      <c r="T228" s="30" t="str">
        <f>IFERROR(VLOOKUP(O228, '[1]CURSOS 2025'!A:B, 2, FALSE), "")</f>
        <v/>
      </c>
      <c r="U228" s="39">
        <f t="shared" si="33"/>
        <v>0</v>
      </c>
    </row>
    <row r="229" spans="1:21" s="40" customFormat="1" ht="39.950000000000003" customHeight="1" thickBot="1" x14ac:dyDescent="0.35">
      <c r="A229" s="30">
        <f t="array" ref="A229">IF(B229&lt;&gt;"",COUNTIF($B$19:B229,"&lt;&gt;"),"")</f>
        <v>183</v>
      </c>
      <c r="B229" s="41">
        <v>247</v>
      </c>
      <c r="C229" s="42" t="s">
        <v>256</v>
      </c>
      <c r="D229" s="43" t="s">
        <v>465</v>
      </c>
      <c r="E229" s="42" t="s">
        <v>466</v>
      </c>
      <c r="F229" s="49" t="s">
        <v>222</v>
      </c>
      <c r="G229" s="36" t="s">
        <v>467</v>
      </c>
      <c r="H229" s="44"/>
      <c r="I229" s="44"/>
      <c r="J229" s="44"/>
      <c r="K229" s="44" t="s">
        <v>231</v>
      </c>
      <c r="L229" s="44" t="s">
        <v>231</v>
      </c>
      <c r="M229" s="44" t="s">
        <v>231</v>
      </c>
      <c r="N229" s="36" t="s">
        <v>1537</v>
      </c>
      <c r="O229" s="36" t="s">
        <v>233</v>
      </c>
      <c r="P229" s="45">
        <v>46072</v>
      </c>
      <c r="Q229" s="45">
        <v>46072</v>
      </c>
      <c r="R229" s="44">
        <v>40</v>
      </c>
      <c r="S229" s="46" t="s">
        <v>37</v>
      </c>
      <c r="T229" s="30" t="s">
        <v>234</v>
      </c>
      <c r="U229" s="39">
        <f t="shared" si="33"/>
        <v>40</v>
      </c>
    </row>
    <row r="230" spans="1:21" s="40" customFormat="1" ht="39.950000000000003" customHeight="1" thickBot="1" x14ac:dyDescent="0.35">
      <c r="A230" s="30">
        <f t="array" ref="A230">IF(B230&lt;&gt;"",COUNTIF($B$19:B230,"&lt;&gt;"),"")</f>
        <v>184</v>
      </c>
      <c r="B230" s="41">
        <v>247</v>
      </c>
      <c r="C230" s="42" t="s">
        <v>256</v>
      </c>
      <c r="D230" s="43" t="s">
        <v>468</v>
      </c>
      <c r="E230" s="42" t="s">
        <v>469</v>
      </c>
      <c r="F230" s="49" t="s">
        <v>222</v>
      </c>
      <c r="G230" s="36" t="s">
        <v>470</v>
      </c>
      <c r="H230" s="44"/>
      <c r="I230" s="44"/>
      <c r="J230" s="44"/>
      <c r="K230" s="44"/>
      <c r="L230" s="44"/>
      <c r="M230" s="44"/>
      <c r="N230" s="36" t="s">
        <v>1537</v>
      </c>
      <c r="O230" s="36"/>
      <c r="P230" s="45"/>
      <c r="Q230" s="45"/>
      <c r="R230" s="44"/>
      <c r="S230" s="46" t="s">
        <v>37</v>
      </c>
      <c r="T230" s="30" t="str">
        <f>IFERROR(VLOOKUP(O230, '[1]CURSOS 2025'!A:B, 2, FALSE), "")</f>
        <v/>
      </c>
      <c r="U230" s="39">
        <f t="shared" si="33"/>
        <v>0</v>
      </c>
    </row>
    <row r="231" spans="1:21" s="40" customFormat="1" ht="39.950000000000003" customHeight="1" thickBot="1" x14ac:dyDescent="0.35">
      <c r="A231" s="30">
        <f t="array" ref="A231">IF(B231&lt;&gt;"",COUNTIF($B$19:B231,"&lt;&gt;"),"")</f>
        <v>185</v>
      </c>
      <c r="B231" s="41">
        <v>247</v>
      </c>
      <c r="C231" s="42" t="s">
        <v>256</v>
      </c>
      <c r="D231" s="43" t="s">
        <v>471</v>
      </c>
      <c r="E231" s="42" t="s">
        <v>472</v>
      </c>
      <c r="F231" s="49" t="s">
        <v>222</v>
      </c>
      <c r="G231" s="36" t="s">
        <v>473</v>
      </c>
      <c r="H231" s="44"/>
      <c r="I231" s="44"/>
      <c r="J231" s="44"/>
      <c r="K231" s="44"/>
      <c r="L231" s="44"/>
      <c r="M231" s="44"/>
      <c r="N231" s="36"/>
      <c r="O231" s="36"/>
      <c r="P231" s="45"/>
      <c r="Q231" s="45"/>
      <c r="R231" s="44"/>
      <c r="S231" s="46" t="s">
        <v>33</v>
      </c>
      <c r="T231" s="30" t="str">
        <f>IFERROR(VLOOKUP(O231, '[1]CURSOS 2025'!A:B, 2, FALSE), "")</f>
        <v/>
      </c>
      <c r="U231" s="39">
        <f t="shared" si="33"/>
        <v>0</v>
      </c>
    </row>
    <row r="232" spans="1:21" s="40" customFormat="1" ht="39.950000000000003" customHeight="1" thickBot="1" x14ac:dyDescent="0.35">
      <c r="A232" s="30">
        <f t="array" ref="A232">IF(B232&lt;&gt;"",COUNTIF($B$19:B232,"&lt;&gt;"),"")</f>
        <v>186</v>
      </c>
      <c r="B232" s="41">
        <v>247</v>
      </c>
      <c r="C232" s="42" t="s">
        <v>256</v>
      </c>
      <c r="D232" s="43" t="s">
        <v>474</v>
      </c>
      <c r="E232" s="42" t="s">
        <v>475</v>
      </c>
      <c r="F232" s="49" t="s">
        <v>222</v>
      </c>
      <c r="G232" s="36" t="s">
        <v>476</v>
      </c>
      <c r="H232" s="44"/>
      <c r="I232" s="44"/>
      <c r="J232" s="44"/>
      <c r="K232" s="44"/>
      <c r="L232" s="44"/>
      <c r="M232" s="44"/>
      <c r="N232" s="36"/>
      <c r="O232" s="36"/>
      <c r="P232" s="45"/>
      <c r="Q232" s="45"/>
      <c r="R232" s="44"/>
      <c r="S232" s="46" t="s">
        <v>37</v>
      </c>
      <c r="T232" s="30" t="str">
        <f>IFERROR(VLOOKUP(O232, '[1]CURSOS 2025'!A:B, 2, FALSE), "")</f>
        <v/>
      </c>
      <c r="U232" s="39">
        <f t="shared" si="33"/>
        <v>0</v>
      </c>
    </row>
    <row r="233" spans="1:21" s="40" customFormat="1" ht="39.950000000000003" customHeight="1" thickBot="1" x14ac:dyDescent="0.35">
      <c r="A233" s="30">
        <f t="array" ref="A233">IF(B233&lt;&gt;"",COUNTIF($B$19:B233,"&lt;&gt;"),"")</f>
        <v>187</v>
      </c>
      <c r="B233" s="41">
        <v>247</v>
      </c>
      <c r="C233" s="42" t="s">
        <v>256</v>
      </c>
      <c r="D233" s="43" t="s">
        <v>477</v>
      </c>
      <c r="E233" s="42" t="s">
        <v>478</v>
      </c>
      <c r="F233" s="49" t="s">
        <v>222</v>
      </c>
      <c r="G233" s="36" t="s">
        <v>479</v>
      </c>
      <c r="H233" s="44"/>
      <c r="I233" s="44"/>
      <c r="J233" s="44"/>
      <c r="K233" s="44"/>
      <c r="L233" s="44"/>
      <c r="M233" s="44"/>
      <c r="N233" s="36"/>
      <c r="O233" s="36"/>
      <c r="P233" s="45"/>
      <c r="Q233" s="45"/>
      <c r="R233" s="44"/>
      <c r="S233" s="46" t="s">
        <v>37</v>
      </c>
      <c r="T233" s="30" t="str">
        <f>IFERROR(VLOOKUP(O233, '[1]CURSOS 2025'!A:B, 2, FALSE), "")</f>
        <v/>
      </c>
      <c r="U233" s="39">
        <f t="shared" si="33"/>
        <v>0</v>
      </c>
    </row>
    <row r="234" spans="1:21" s="40" customFormat="1" ht="39.950000000000003" customHeight="1" thickBot="1" x14ac:dyDescent="0.35">
      <c r="A234" s="30">
        <f t="array" ref="A234">IF(B234&lt;&gt;"",COUNTIF($B$19:B234,"&lt;&gt;"),"")</f>
        <v>188</v>
      </c>
      <c r="B234" s="41">
        <v>247</v>
      </c>
      <c r="C234" s="42" t="s">
        <v>45</v>
      </c>
      <c r="D234" s="43" t="s">
        <v>480</v>
      </c>
      <c r="E234" s="42" t="s">
        <v>481</v>
      </c>
      <c r="F234" s="49" t="s">
        <v>222</v>
      </c>
      <c r="G234" s="36" t="s">
        <v>482</v>
      </c>
      <c r="H234" s="44"/>
      <c r="I234" s="44"/>
      <c r="J234" s="44"/>
      <c r="K234" s="216" t="s">
        <v>231</v>
      </c>
      <c r="L234" s="214" t="s">
        <v>231</v>
      </c>
      <c r="M234" s="214" t="s">
        <v>231</v>
      </c>
      <c r="N234" s="217" t="s">
        <v>1537</v>
      </c>
      <c r="O234" s="217" t="s">
        <v>2305</v>
      </c>
      <c r="P234" s="213">
        <v>46112</v>
      </c>
      <c r="Q234" s="213">
        <v>46112</v>
      </c>
      <c r="R234" s="214">
        <v>20</v>
      </c>
      <c r="S234" s="44" t="s">
        <v>37</v>
      </c>
      <c r="T234" s="30" t="s">
        <v>234</v>
      </c>
      <c r="U234" s="221">
        <f>SUM(R234:R235)</f>
        <v>40</v>
      </c>
    </row>
    <row r="235" spans="1:21" s="40" customFormat="1" ht="39.950000000000003" customHeight="1" thickBot="1" x14ac:dyDescent="0.35">
      <c r="A235" s="30"/>
      <c r="B235" s="41"/>
      <c r="C235" s="42"/>
      <c r="D235" s="43"/>
      <c r="E235" s="42"/>
      <c r="F235" s="49"/>
      <c r="G235" s="36"/>
      <c r="H235" s="44"/>
      <c r="I235" s="44"/>
      <c r="J235" s="44"/>
      <c r="K235" s="216" t="s">
        <v>231</v>
      </c>
      <c r="L235" s="214" t="s">
        <v>231</v>
      </c>
      <c r="M235" s="214" t="s">
        <v>231</v>
      </c>
      <c r="N235" s="217" t="s">
        <v>232</v>
      </c>
      <c r="O235" s="217" t="s">
        <v>1768</v>
      </c>
      <c r="P235" s="213">
        <v>46163</v>
      </c>
      <c r="Q235" s="213">
        <v>46163</v>
      </c>
      <c r="R235" s="214">
        <v>20</v>
      </c>
      <c r="S235" s="44" t="s">
        <v>37</v>
      </c>
      <c r="T235" s="30" t="s">
        <v>234</v>
      </c>
      <c r="U235" s="223"/>
    </row>
    <row r="236" spans="1:21" s="40" customFormat="1" ht="30.75" customHeight="1" thickBot="1" x14ac:dyDescent="0.35">
      <c r="A236" s="30">
        <f t="array" ref="A236">IF(B236&lt;&gt;"",COUNTIF($B$19:B236,"&lt;&gt;"),"")</f>
        <v>189</v>
      </c>
      <c r="B236" s="41">
        <v>247</v>
      </c>
      <c r="C236" s="42" t="s">
        <v>483</v>
      </c>
      <c r="D236" s="43" t="s">
        <v>484</v>
      </c>
      <c r="E236" s="42" t="s">
        <v>485</v>
      </c>
      <c r="F236" s="49" t="s">
        <v>222</v>
      </c>
      <c r="G236" s="36" t="s">
        <v>486</v>
      </c>
      <c r="H236" s="44"/>
      <c r="I236" s="44"/>
      <c r="J236" s="44"/>
      <c r="K236" s="44" t="s">
        <v>231</v>
      </c>
      <c r="L236" s="44" t="s">
        <v>231</v>
      </c>
      <c r="M236" s="44" t="s">
        <v>231</v>
      </c>
      <c r="N236" s="36" t="s">
        <v>1537</v>
      </c>
      <c r="O236" s="36" t="s">
        <v>1710</v>
      </c>
      <c r="P236" s="45">
        <v>46070</v>
      </c>
      <c r="Q236" s="45">
        <v>46070</v>
      </c>
      <c r="R236" s="44">
        <v>40</v>
      </c>
      <c r="S236" s="44" t="s">
        <v>37</v>
      </c>
      <c r="T236" s="30" t="s">
        <v>234</v>
      </c>
      <c r="U236" s="48">
        <f t="shared" ref="U236" si="34">SUM(R236)</f>
        <v>40</v>
      </c>
    </row>
    <row r="237" spans="1:21" s="40" customFormat="1" ht="39.950000000000003" customHeight="1" thickBot="1" x14ac:dyDescent="0.45">
      <c r="A237" s="30">
        <f t="array" ref="A237">IF(B237&lt;&gt;"",COUNTIF($B$19:B237,"&lt;&gt;"),"")</f>
        <v>190</v>
      </c>
      <c r="B237" s="41">
        <v>247</v>
      </c>
      <c r="C237" s="42"/>
      <c r="D237" s="43" t="s">
        <v>487</v>
      </c>
      <c r="E237" s="42" t="s">
        <v>488</v>
      </c>
      <c r="F237" s="49" t="s">
        <v>222</v>
      </c>
      <c r="G237" s="67" t="s">
        <v>489</v>
      </c>
      <c r="H237" s="44"/>
      <c r="I237" s="44"/>
      <c r="J237" s="44"/>
      <c r="K237" s="44"/>
      <c r="L237" s="44"/>
      <c r="M237" s="44"/>
      <c r="N237" s="36" t="s">
        <v>1537</v>
      </c>
      <c r="O237" s="36"/>
      <c r="P237" s="45"/>
      <c r="Q237" s="45"/>
      <c r="R237" s="44"/>
      <c r="S237" s="46" t="s">
        <v>37</v>
      </c>
      <c r="T237" s="30" t="str">
        <f>IFERROR(VLOOKUP(O237, '[1]CURSOS 2025'!A:B, 2, FALSE), "")</f>
        <v/>
      </c>
      <c r="U237" s="68">
        <f t="shared" ref="U237:U243" si="35">SUM(R237:R237)</f>
        <v>0</v>
      </c>
    </row>
    <row r="238" spans="1:21" s="40" customFormat="1" ht="39.950000000000003" customHeight="1" thickBot="1" x14ac:dyDescent="0.45">
      <c r="A238" s="30">
        <f t="array" ref="A238">IF(B238&lt;&gt;"",COUNTIF($B$19:B238,"&lt;&gt;"),"")</f>
        <v>191</v>
      </c>
      <c r="B238" s="41">
        <v>247</v>
      </c>
      <c r="C238" s="42" t="s">
        <v>252</v>
      </c>
      <c r="D238" s="43" t="s">
        <v>490</v>
      </c>
      <c r="E238" s="42" t="s">
        <v>491</v>
      </c>
      <c r="F238" s="49" t="s">
        <v>222</v>
      </c>
      <c r="G238" s="67"/>
      <c r="H238" s="44"/>
      <c r="I238" s="44"/>
      <c r="J238" s="44"/>
      <c r="K238" s="44"/>
      <c r="L238" s="44"/>
      <c r="M238" s="44"/>
      <c r="N238" s="36"/>
      <c r="O238" s="36"/>
      <c r="P238" s="45"/>
      <c r="Q238" s="45"/>
      <c r="R238" s="44"/>
      <c r="S238" s="46" t="s">
        <v>37</v>
      </c>
      <c r="T238" s="30" t="str">
        <f>IFERROR(VLOOKUP(O238, '[1]CURSOS 2025'!A:B, 2, FALSE), "")</f>
        <v/>
      </c>
      <c r="U238" s="68">
        <f t="shared" si="35"/>
        <v>0</v>
      </c>
    </row>
    <row r="239" spans="1:21" s="69" customFormat="1" ht="39.950000000000003" customHeight="1" thickBot="1" x14ac:dyDescent="0.45">
      <c r="A239" s="30">
        <f t="array" ref="A239">IF(B239&lt;&gt;"",COUNTIF($B$19:B239,"&lt;&gt;"),"")</f>
        <v>192</v>
      </c>
      <c r="B239" s="41">
        <v>247</v>
      </c>
      <c r="C239" s="42" t="s">
        <v>256</v>
      </c>
      <c r="D239" s="43" t="s">
        <v>492</v>
      </c>
      <c r="E239" s="42" t="s">
        <v>493</v>
      </c>
      <c r="F239" s="49" t="s">
        <v>222</v>
      </c>
      <c r="G239" s="67"/>
      <c r="H239" s="44"/>
      <c r="I239" s="44"/>
      <c r="J239" s="44"/>
      <c r="K239" s="41" t="s">
        <v>2328</v>
      </c>
      <c r="L239" s="41" t="s">
        <v>2328</v>
      </c>
      <c r="M239" s="41" t="s">
        <v>2328</v>
      </c>
      <c r="N239" s="36" t="s">
        <v>232</v>
      </c>
      <c r="O239" s="36" t="s">
        <v>1710</v>
      </c>
      <c r="P239" s="45">
        <v>46150</v>
      </c>
      <c r="Q239" s="45">
        <v>46150</v>
      </c>
      <c r="R239" s="44">
        <v>40</v>
      </c>
      <c r="S239" s="46" t="s">
        <v>33</v>
      </c>
      <c r="T239" s="30" t="str">
        <f>IFERROR(VLOOKUP(O239, '[1]CURSOS 2025'!A:B, 2, FALSE), "")</f>
        <v/>
      </c>
      <c r="U239" s="39">
        <f t="shared" si="35"/>
        <v>40</v>
      </c>
    </row>
    <row r="240" spans="1:21" s="69" customFormat="1" ht="39.950000000000003" customHeight="1" thickBot="1" x14ac:dyDescent="0.45">
      <c r="A240" s="30">
        <f t="array" ref="A240">IF(B240&lt;&gt;"",COUNTIF($B$19:B240,"&lt;&gt;"),"")</f>
        <v>193</v>
      </c>
      <c r="B240" s="41">
        <v>247</v>
      </c>
      <c r="C240" s="42" t="s">
        <v>256</v>
      </c>
      <c r="D240" s="43" t="s">
        <v>494</v>
      </c>
      <c r="E240" s="42" t="s">
        <v>495</v>
      </c>
      <c r="F240" s="49" t="s">
        <v>222</v>
      </c>
      <c r="G240" s="67"/>
      <c r="H240" s="44"/>
      <c r="I240" s="44"/>
      <c r="J240" s="44"/>
      <c r="K240" s="41"/>
      <c r="L240" s="41"/>
      <c r="M240" s="41"/>
      <c r="N240" s="36"/>
      <c r="O240" s="36"/>
      <c r="P240" s="45"/>
      <c r="Q240" s="45"/>
      <c r="R240" s="44"/>
      <c r="S240" s="46" t="s">
        <v>37</v>
      </c>
      <c r="T240" s="30" t="str">
        <f>IFERROR(VLOOKUP(O240, '[1]CURSOS 2025'!A:B, 2, FALSE), "")</f>
        <v/>
      </c>
      <c r="U240" s="39">
        <f t="shared" si="35"/>
        <v>0</v>
      </c>
    </row>
    <row r="241" spans="1:21" s="69" customFormat="1" ht="39.950000000000003" customHeight="1" thickBot="1" x14ac:dyDescent="0.45">
      <c r="A241" s="30">
        <f t="array" ref="A241">IF(B241&lt;&gt;"",COUNTIF($B$19:B241,"&lt;&gt;"),"")</f>
        <v>194</v>
      </c>
      <c r="B241" s="41">
        <v>247</v>
      </c>
      <c r="C241" s="42" t="s">
        <v>256</v>
      </c>
      <c r="D241" s="43" t="s">
        <v>496</v>
      </c>
      <c r="E241" s="42" t="s">
        <v>497</v>
      </c>
      <c r="F241" s="49" t="s">
        <v>222</v>
      </c>
      <c r="G241" s="67"/>
      <c r="H241" s="44"/>
      <c r="I241" s="44"/>
      <c r="J241" s="44"/>
      <c r="K241" s="41"/>
      <c r="L241" s="41"/>
      <c r="M241" s="41"/>
      <c r="N241" s="36"/>
      <c r="O241" s="36"/>
      <c r="P241" s="45"/>
      <c r="Q241" s="45"/>
      <c r="R241" s="44"/>
      <c r="S241" s="46" t="s">
        <v>37</v>
      </c>
      <c r="T241" s="30" t="str">
        <f>IFERROR(VLOOKUP(O241, '[1]CURSOS 2025'!A:B, 2, FALSE), "")</f>
        <v/>
      </c>
      <c r="U241" s="39">
        <f t="shared" si="35"/>
        <v>0</v>
      </c>
    </row>
    <row r="242" spans="1:21" s="69" customFormat="1" ht="39.950000000000003" customHeight="1" thickBot="1" x14ac:dyDescent="0.45">
      <c r="A242" s="30">
        <f t="array" ref="A242">IF(B242&lt;&gt;"",COUNTIF($B$19:B242,"&lt;&gt;"),"")</f>
        <v>195</v>
      </c>
      <c r="B242" s="41">
        <v>247</v>
      </c>
      <c r="C242" s="42" t="s">
        <v>256</v>
      </c>
      <c r="D242" s="43" t="s">
        <v>498</v>
      </c>
      <c r="E242" s="42" t="s">
        <v>499</v>
      </c>
      <c r="F242" s="49" t="s">
        <v>222</v>
      </c>
      <c r="G242" s="67"/>
      <c r="H242" s="44"/>
      <c r="I242" s="44"/>
      <c r="J242" s="44"/>
      <c r="K242" s="41"/>
      <c r="L242" s="41"/>
      <c r="M242" s="41"/>
      <c r="N242" s="36"/>
      <c r="O242" s="36"/>
      <c r="P242" s="45"/>
      <c r="Q242" s="45"/>
      <c r="R242" s="44"/>
      <c r="S242" s="46" t="s">
        <v>37</v>
      </c>
      <c r="T242" s="30" t="str">
        <f>IFERROR(VLOOKUP(O242, '[1]CURSOS 2025'!A:B, 2, FALSE), "")</f>
        <v/>
      </c>
      <c r="U242" s="39">
        <f t="shared" si="35"/>
        <v>0</v>
      </c>
    </row>
    <row r="243" spans="1:21" s="69" customFormat="1" ht="39.75" customHeight="1" thickBot="1" x14ac:dyDescent="0.45">
      <c r="A243" s="30">
        <f t="array" ref="A243">IF(B243&lt;&gt;"",COUNTIF($B$19:B243,"&lt;&gt;"),"")</f>
        <v>196</v>
      </c>
      <c r="B243" s="41">
        <v>247</v>
      </c>
      <c r="C243" s="42" t="s">
        <v>141</v>
      </c>
      <c r="D243" s="43" t="s">
        <v>500</v>
      </c>
      <c r="E243" s="42" t="s">
        <v>501</v>
      </c>
      <c r="F243" s="49" t="s">
        <v>222</v>
      </c>
      <c r="G243" s="67"/>
      <c r="H243" s="44"/>
      <c r="I243" s="44"/>
      <c r="J243" s="44"/>
      <c r="K243" s="41"/>
      <c r="L243" s="41"/>
      <c r="M243" s="41"/>
      <c r="N243" s="36"/>
      <c r="O243" s="36"/>
      <c r="P243" s="45"/>
      <c r="Q243" s="45"/>
      <c r="R243" s="44"/>
      <c r="S243" s="46" t="s">
        <v>33</v>
      </c>
      <c r="T243" s="30" t="str">
        <f>IFERROR(VLOOKUP(O243, '[1]CURSOS 2025'!A:B, 2, FALSE), "")</f>
        <v/>
      </c>
      <c r="U243" s="39">
        <f t="shared" si="35"/>
        <v>0</v>
      </c>
    </row>
    <row r="244" spans="1:21" s="59" customFormat="1" ht="39.950000000000003" customHeight="1" thickBot="1" x14ac:dyDescent="0.35">
      <c r="A244" s="30" t="str">
        <f t="array" ref="A244">IF(B244&lt;&gt;"",COUNTIF($B$19:B244,"&lt;&gt;"),"")</f>
        <v/>
      </c>
      <c r="B244" s="50"/>
      <c r="C244" s="51"/>
      <c r="D244" s="52"/>
      <c r="E244" s="51"/>
      <c r="F244" s="53"/>
      <c r="G244" s="53"/>
      <c r="H244" s="54"/>
      <c r="I244" s="54"/>
      <c r="J244" s="54"/>
      <c r="K244" s="54"/>
      <c r="L244" s="54"/>
      <c r="M244" s="54"/>
      <c r="N244" s="55"/>
      <c r="O244" s="55"/>
      <c r="P244" s="56"/>
      <c r="Q244" s="56"/>
      <c r="R244" s="54"/>
      <c r="S244" s="54"/>
      <c r="T244" s="57" t="str">
        <f>IFERROR(VLOOKUP(O244, '[1]CURSOS 2025'!A:B, 2, FALSE), "")</f>
        <v/>
      </c>
      <c r="U244" s="58"/>
    </row>
    <row r="245" spans="1:21" s="40" customFormat="1" ht="39.950000000000003" customHeight="1" thickBot="1" x14ac:dyDescent="0.35">
      <c r="A245" s="30">
        <f t="array" ref="A245">IF(B245&lt;&gt;"",COUNTIF($B$19:B245,"&lt;&gt;"),"")</f>
        <v>197</v>
      </c>
      <c r="B245" s="41">
        <v>247</v>
      </c>
      <c r="C245" s="42" t="s">
        <v>502</v>
      </c>
      <c r="D245" s="43">
        <v>5456</v>
      </c>
      <c r="E245" s="42" t="s">
        <v>503</v>
      </c>
      <c r="F245" s="49" t="s">
        <v>504</v>
      </c>
      <c r="G245" s="36" t="s">
        <v>505</v>
      </c>
      <c r="H245" s="44"/>
      <c r="I245" s="44"/>
      <c r="J245" s="44"/>
      <c r="K245" s="44" t="s">
        <v>231</v>
      </c>
      <c r="L245" s="44" t="s">
        <v>231</v>
      </c>
      <c r="M245" s="44" t="s">
        <v>231</v>
      </c>
      <c r="N245" s="36" t="s">
        <v>1537</v>
      </c>
      <c r="O245" s="36" t="s">
        <v>1715</v>
      </c>
      <c r="P245" s="45">
        <v>46071</v>
      </c>
      <c r="Q245" s="45">
        <v>46071</v>
      </c>
      <c r="R245" s="44">
        <v>2</v>
      </c>
      <c r="S245" s="44" t="s">
        <v>33</v>
      </c>
      <c r="T245" s="30" t="s">
        <v>234</v>
      </c>
      <c r="U245" s="48">
        <f t="shared" ref="U245:U246" si="36">SUM(R245)</f>
        <v>2</v>
      </c>
    </row>
    <row r="246" spans="1:21" s="40" customFormat="1" ht="39.950000000000003" customHeight="1" thickBot="1" x14ac:dyDescent="0.35">
      <c r="A246" s="30">
        <f t="array" ref="A246">IF(B246&lt;&gt;"",COUNTIF($B$19:B246,"&lt;&gt;"),"")</f>
        <v>198</v>
      </c>
      <c r="B246" s="41">
        <v>227</v>
      </c>
      <c r="C246" s="42" t="s">
        <v>34</v>
      </c>
      <c r="D246" s="43" t="s">
        <v>506</v>
      </c>
      <c r="E246" s="42" t="s">
        <v>507</v>
      </c>
      <c r="F246" s="49" t="s">
        <v>504</v>
      </c>
      <c r="G246" s="36" t="s">
        <v>508</v>
      </c>
      <c r="H246" s="44"/>
      <c r="I246" s="44"/>
      <c r="J246" s="44"/>
      <c r="K246" s="44" t="s">
        <v>231</v>
      </c>
      <c r="L246" s="44" t="s">
        <v>231</v>
      </c>
      <c r="M246" s="44" t="s">
        <v>231</v>
      </c>
      <c r="N246" s="36" t="s">
        <v>1537</v>
      </c>
      <c r="O246" s="36" t="s">
        <v>1715</v>
      </c>
      <c r="P246" s="45">
        <v>46071</v>
      </c>
      <c r="Q246" s="45">
        <v>46071</v>
      </c>
      <c r="R246" s="44">
        <v>2</v>
      </c>
      <c r="S246" s="44" t="s">
        <v>37</v>
      </c>
      <c r="T246" s="30" t="s">
        <v>234</v>
      </c>
      <c r="U246" s="48">
        <f t="shared" si="36"/>
        <v>2</v>
      </c>
    </row>
    <row r="247" spans="1:21" s="40" customFormat="1" ht="39.950000000000003" customHeight="1" thickBot="1" x14ac:dyDescent="0.35">
      <c r="A247" s="30">
        <f t="array" ref="A247">IF(B247&lt;&gt;"",COUNTIF($B$19:B247,"&lt;&gt;"),"")</f>
        <v>199</v>
      </c>
      <c r="B247" s="41">
        <v>227</v>
      </c>
      <c r="C247" s="42" t="s">
        <v>141</v>
      </c>
      <c r="D247" s="43">
        <v>206251</v>
      </c>
      <c r="E247" s="42" t="s">
        <v>509</v>
      </c>
      <c r="F247" s="49" t="s">
        <v>504</v>
      </c>
      <c r="G247" s="36" t="s">
        <v>510</v>
      </c>
      <c r="H247" s="44"/>
      <c r="I247" s="44"/>
      <c r="J247" s="44"/>
      <c r="K247" s="44"/>
      <c r="L247" s="44"/>
      <c r="M247" s="44"/>
      <c r="N247" s="36"/>
      <c r="O247" s="36"/>
      <c r="P247" s="45"/>
      <c r="Q247" s="45"/>
      <c r="R247" s="44"/>
      <c r="S247" s="46" t="s">
        <v>37</v>
      </c>
      <c r="T247" s="30" t="str">
        <f>IFERROR(VLOOKUP(O247, '[1]CURSOS 2025'!A:B, 2, FALSE), "")</f>
        <v/>
      </c>
      <c r="U247" s="39">
        <f>SUM(R247:R247)</f>
        <v>0</v>
      </c>
    </row>
    <row r="248" spans="1:21" s="40" customFormat="1" ht="39.950000000000003" customHeight="1" thickBot="1" x14ac:dyDescent="0.35">
      <c r="A248" s="30">
        <f t="array" ref="A248">IF(B248&lt;&gt;"",COUNTIF($B$19:B248,"&lt;&gt;"),"")</f>
        <v>200</v>
      </c>
      <c r="B248" s="41">
        <v>227</v>
      </c>
      <c r="C248" s="42" t="s">
        <v>141</v>
      </c>
      <c r="D248" s="43">
        <v>205426</v>
      </c>
      <c r="E248" s="42" t="s">
        <v>511</v>
      </c>
      <c r="F248" s="49" t="s">
        <v>504</v>
      </c>
      <c r="G248" s="36" t="s">
        <v>512</v>
      </c>
      <c r="H248" s="44"/>
      <c r="I248" s="44"/>
      <c r="J248" s="44"/>
      <c r="K248" s="44"/>
      <c r="L248" s="44"/>
      <c r="M248" s="44"/>
      <c r="N248" s="36"/>
      <c r="O248" s="36"/>
      <c r="P248" s="45"/>
      <c r="Q248" s="45"/>
      <c r="R248" s="44"/>
      <c r="S248" s="46" t="s">
        <v>33</v>
      </c>
      <c r="T248" s="30" t="str">
        <f>IFERROR(VLOOKUP(O248, '[1]CURSOS 2025'!A:B, 2, FALSE), "")</f>
        <v/>
      </c>
      <c r="U248" s="39">
        <f>SUM(R248:R248)</f>
        <v>0</v>
      </c>
    </row>
    <row r="249" spans="1:21" s="40" customFormat="1" ht="39.950000000000003" customHeight="1" thickBot="1" x14ac:dyDescent="0.35">
      <c r="A249" s="30">
        <f t="array" ref="A249">IF(B249&lt;&gt;"",COUNTIF($B$19:B249,"&lt;&gt;"),"")</f>
        <v>201</v>
      </c>
      <c r="B249" s="41">
        <v>227</v>
      </c>
      <c r="C249" s="42" t="s">
        <v>513</v>
      </c>
      <c r="D249" s="43">
        <v>952</v>
      </c>
      <c r="E249" s="42" t="s">
        <v>514</v>
      </c>
      <c r="F249" s="49" t="s">
        <v>504</v>
      </c>
      <c r="G249" s="36" t="s">
        <v>515</v>
      </c>
      <c r="H249" s="44"/>
      <c r="I249" s="44"/>
      <c r="J249" s="44"/>
      <c r="K249" s="44"/>
      <c r="L249" s="44"/>
      <c r="M249" s="44"/>
      <c r="N249" s="36"/>
      <c r="O249" s="36"/>
      <c r="P249" s="45"/>
      <c r="Q249" s="45"/>
      <c r="R249" s="44"/>
      <c r="S249" s="46" t="s">
        <v>37</v>
      </c>
      <c r="T249" s="30" t="str">
        <f>IFERROR(VLOOKUP(O249, '[1]CURSOS 2025'!A:B, 2, FALSE), "")</f>
        <v/>
      </c>
      <c r="U249" s="39">
        <f>SUM(R249:R249)</f>
        <v>0</v>
      </c>
    </row>
    <row r="250" spans="1:21" s="40" customFormat="1" ht="39.950000000000003" customHeight="1" thickBot="1" x14ac:dyDescent="0.35">
      <c r="A250" s="30">
        <f t="array" ref="A250">IF(B250&lt;&gt;"",COUNTIF($B$19:B250,"&lt;&gt;"),"")</f>
        <v>202</v>
      </c>
      <c r="B250" s="41">
        <v>227</v>
      </c>
      <c r="C250" s="42" t="s">
        <v>38</v>
      </c>
      <c r="D250" s="43">
        <v>5633</v>
      </c>
      <c r="E250" s="42" t="s">
        <v>516</v>
      </c>
      <c r="F250" s="49" t="s">
        <v>504</v>
      </c>
      <c r="G250" s="36" t="s">
        <v>517</v>
      </c>
      <c r="H250" s="44"/>
      <c r="I250" s="44"/>
      <c r="J250" s="44"/>
      <c r="K250" s="44"/>
      <c r="L250" s="44"/>
      <c r="M250" s="44"/>
      <c r="N250" s="36"/>
      <c r="O250" s="36"/>
      <c r="P250" s="45"/>
      <c r="Q250" s="45"/>
      <c r="R250" s="44"/>
      <c r="S250" s="46" t="s">
        <v>37</v>
      </c>
      <c r="T250" s="30" t="str">
        <f>IFERROR(VLOOKUP(O250, '[1]CURSOS 2025'!A:B, 2, FALSE), "")</f>
        <v/>
      </c>
      <c r="U250" s="39">
        <f>SUM(R250:R250)</f>
        <v>0</v>
      </c>
    </row>
    <row r="251" spans="1:21" s="40" customFormat="1" ht="68.25" customHeight="1" thickBot="1" x14ac:dyDescent="0.35">
      <c r="A251" s="30">
        <f t="array" ref="A251">IF(B251&lt;&gt;"",COUNTIF($B$19:B251,"&lt;&gt;"),"")</f>
        <v>203</v>
      </c>
      <c r="B251" s="41">
        <v>227</v>
      </c>
      <c r="C251" s="42" t="s">
        <v>141</v>
      </c>
      <c r="D251" s="43">
        <v>206166</v>
      </c>
      <c r="E251" s="42" t="s">
        <v>518</v>
      </c>
      <c r="F251" s="49" t="s">
        <v>504</v>
      </c>
      <c r="G251" s="36" t="s">
        <v>519</v>
      </c>
      <c r="H251" s="44"/>
      <c r="I251" s="44"/>
      <c r="J251" s="44"/>
      <c r="K251" s="44"/>
      <c r="L251" s="44"/>
      <c r="M251" s="44"/>
      <c r="N251" s="36"/>
      <c r="O251" s="36"/>
      <c r="P251" s="45"/>
      <c r="Q251" s="45"/>
      <c r="R251" s="44"/>
      <c r="S251" s="44" t="s">
        <v>37</v>
      </c>
      <c r="T251" s="30" t="str">
        <f>IFERROR(VLOOKUP(O251, '[1]CURSOS 2025'!A:B, 2, FALSE), "")</f>
        <v/>
      </c>
      <c r="U251" s="48">
        <f t="shared" ref="U251" si="37">SUM(R251)</f>
        <v>0</v>
      </c>
    </row>
    <row r="252" spans="1:21" s="40" customFormat="1" ht="39.950000000000003" customHeight="1" thickBot="1" x14ac:dyDescent="0.35">
      <c r="A252" s="30">
        <f t="array" ref="A252">IF(B252&lt;&gt;"",COUNTIF($B$19:B252,"&lt;&gt;"),"")</f>
        <v>204</v>
      </c>
      <c r="B252" s="41">
        <v>227</v>
      </c>
      <c r="C252" s="42" t="s">
        <v>38</v>
      </c>
      <c r="D252" s="43">
        <v>5121</v>
      </c>
      <c r="E252" s="42" t="s">
        <v>520</v>
      </c>
      <c r="F252" s="49" t="s">
        <v>504</v>
      </c>
      <c r="G252" s="36" t="s">
        <v>521</v>
      </c>
      <c r="H252" s="44"/>
      <c r="I252" s="44"/>
      <c r="J252" s="44"/>
      <c r="K252" s="44"/>
      <c r="L252" s="44"/>
      <c r="M252" s="44"/>
      <c r="N252" s="36"/>
      <c r="O252" s="36"/>
      <c r="P252" s="45"/>
      <c r="Q252" s="45"/>
      <c r="R252" s="44"/>
      <c r="S252" s="46" t="s">
        <v>37</v>
      </c>
      <c r="T252" s="30" t="str">
        <f>IFERROR(VLOOKUP(O252, '[1]CURSOS 2025'!A:B, 2, FALSE), "")</f>
        <v/>
      </c>
      <c r="U252" s="39">
        <f>SUM(R252:R252)</f>
        <v>0</v>
      </c>
    </row>
    <row r="253" spans="1:21" s="40" customFormat="1" ht="39.950000000000003" customHeight="1" thickBot="1" x14ac:dyDescent="0.35">
      <c r="A253" s="30">
        <f t="array" ref="A253">IF(B253&lt;&gt;"",COUNTIF($B$19:B253,"&lt;&gt;"),"")</f>
        <v>205</v>
      </c>
      <c r="B253" s="41">
        <v>227</v>
      </c>
      <c r="C253" s="42" t="s">
        <v>45</v>
      </c>
      <c r="D253" s="43">
        <v>5580</v>
      </c>
      <c r="E253" s="42" t="s">
        <v>522</v>
      </c>
      <c r="F253" s="49" t="s">
        <v>504</v>
      </c>
      <c r="G253" s="36" t="s">
        <v>523</v>
      </c>
      <c r="H253" s="44"/>
      <c r="I253" s="44"/>
      <c r="J253" s="44"/>
      <c r="K253" s="44"/>
      <c r="L253" s="44"/>
      <c r="M253" s="44"/>
      <c r="N253" s="36"/>
      <c r="O253" s="36"/>
      <c r="P253" s="45"/>
      <c r="Q253" s="45"/>
      <c r="R253" s="44"/>
      <c r="S253" s="44" t="s">
        <v>37</v>
      </c>
      <c r="T253" s="30" t="str">
        <f>IFERROR(VLOOKUP(O253, '[1]CURSOS 2025'!A:B, 2, FALSE), "")</f>
        <v/>
      </c>
      <c r="U253" s="48">
        <f t="shared" ref="U253" si="38">SUM(R253)</f>
        <v>0</v>
      </c>
    </row>
    <row r="254" spans="1:21" s="40" customFormat="1" ht="39.950000000000003" customHeight="1" thickBot="1" x14ac:dyDescent="0.35">
      <c r="A254" s="30">
        <f t="array" ref="A254">IF(B254&lt;&gt;"",COUNTIF($B$19:B254,"&lt;&gt;"),"")</f>
        <v>206</v>
      </c>
      <c r="B254" s="41">
        <v>227</v>
      </c>
      <c r="C254" s="42" t="s">
        <v>57</v>
      </c>
      <c r="D254" s="43">
        <v>6096</v>
      </c>
      <c r="E254" s="42" t="s">
        <v>524</v>
      </c>
      <c r="F254" s="49" t="s">
        <v>504</v>
      </c>
      <c r="G254" s="36" t="s">
        <v>525</v>
      </c>
      <c r="H254" s="44"/>
      <c r="I254" s="44"/>
      <c r="J254" s="44"/>
      <c r="K254" s="44"/>
      <c r="L254" s="44"/>
      <c r="M254" s="44"/>
      <c r="N254" s="36"/>
      <c r="O254" s="36"/>
      <c r="P254" s="45"/>
      <c r="Q254" s="45"/>
      <c r="R254" s="44"/>
      <c r="S254" s="46" t="s">
        <v>37</v>
      </c>
      <c r="T254" s="30" t="str">
        <f>IFERROR(VLOOKUP(O254, '[1]CURSOS 2025'!A:B, 2, FALSE), "")</f>
        <v/>
      </c>
      <c r="U254" s="39">
        <f>SUM(R254:R254)</f>
        <v>0</v>
      </c>
    </row>
    <row r="255" spans="1:21" s="40" customFormat="1" ht="39.950000000000003" customHeight="1" thickBot="1" x14ac:dyDescent="0.35">
      <c r="A255" s="30">
        <f t="array" ref="A255">IF(B255&lt;&gt;"",COUNTIF($B$19:B255,"&lt;&gt;"),"")</f>
        <v>207</v>
      </c>
      <c r="B255" s="41">
        <v>227</v>
      </c>
      <c r="C255" s="42" t="s">
        <v>45</v>
      </c>
      <c r="D255" s="43">
        <v>6188</v>
      </c>
      <c r="E255" s="42" t="s">
        <v>526</v>
      </c>
      <c r="F255" s="49" t="s">
        <v>504</v>
      </c>
      <c r="G255" s="36" t="s">
        <v>527</v>
      </c>
      <c r="H255" s="44"/>
      <c r="I255" s="44"/>
      <c r="J255" s="44"/>
      <c r="K255" s="44"/>
      <c r="L255" s="44"/>
      <c r="M255" s="44"/>
      <c r="N255" s="36"/>
      <c r="O255" s="36"/>
      <c r="P255" s="45"/>
      <c r="Q255" s="45"/>
      <c r="R255" s="44"/>
      <c r="S255" s="46" t="s">
        <v>37</v>
      </c>
      <c r="T255" s="30" t="str">
        <f>IFERROR(VLOOKUP(O255, '[1]CURSOS 2025'!A:B, 2, FALSE), "")</f>
        <v/>
      </c>
      <c r="U255" s="39">
        <f>SUM(R255)</f>
        <v>0</v>
      </c>
    </row>
    <row r="256" spans="1:21" s="40" customFormat="1" ht="39.950000000000003" customHeight="1" thickBot="1" x14ac:dyDescent="0.35">
      <c r="A256" s="30">
        <f t="array" ref="A256">IF(B256&lt;&gt;"",COUNTIF($B$19:B256,"&lt;&gt;"),"")</f>
        <v>208</v>
      </c>
      <c r="B256" s="41">
        <v>227</v>
      </c>
      <c r="C256" s="42" t="s">
        <v>81</v>
      </c>
      <c r="D256" s="43">
        <v>206065</v>
      </c>
      <c r="E256" s="42" t="s">
        <v>528</v>
      </c>
      <c r="F256" s="49" t="s">
        <v>504</v>
      </c>
      <c r="G256" s="36" t="s">
        <v>529</v>
      </c>
      <c r="H256" s="44"/>
      <c r="I256" s="44"/>
      <c r="J256" s="44"/>
      <c r="K256" s="44"/>
      <c r="L256" s="44"/>
      <c r="M256" s="44"/>
      <c r="N256" s="36"/>
      <c r="O256" s="36"/>
      <c r="P256" s="45"/>
      <c r="Q256" s="45"/>
      <c r="R256" s="44"/>
      <c r="S256" s="46" t="s">
        <v>33</v>
      </c>
      <c r="T256" s="30" t="str">
        <f>IFERROR(VLOOKUP(O256, '[1]CURSOS 2025'!A:B, 2, FALSE), "")</f>
        <v/>
      </c>
      <c r="U256" s="39">
        <f>SUM(R256:R256)</f>
        <v>0</v>
      </c>
    </row>
    <row r="257" spans="1:21" s="40" customFormat="1" ht="39.950000000000003" customHeight="1" thickBot="1" x14ac:dyDescent="0.35">
      <c r="A257" s="30">
        <f t="array" ref="A257">IF(B257&lt;&gt;"",COUNTIF($B$19:B257,"&lt;&gt;"),"")</f>
        <v>209</v>
      </c>
      <c r="B257" s="41">
        <v>227</v>
      </c>
      <c r="C257" s="42" t="s">
        <v>530</v>
      </c>
      <c r="D257" s="43">
        <v>3888</v>
      </c>
      <c r="E257" s="42" t="s">
        <v>531</v>
      </c>
      <c r="F257" s="49" t="s">
        <v>504</v>
      </c>
      <c r="G257" s="36" t="s">
        <v>532</v>
      </c>
      <c r="H257" s="44"/>
      <c r="I257" s="44"/>
      <c r="J257" s="44"/>
      <c r="K257" s="44"/>
      <c r="L257" s="44"/>
      <c r="M257" s="44"/>
      <c r="N257" s="36"/>
      <c r="O257" s="36"/>
      <c r="P257" s="45"/>
      <c r="Q257" s="45"/>
      <c r="R257" s="44"/>
      <c r="S257" s="44" t="s">
        <v>33</v>
      </c>
      <c r="T257" s="30" t="str">
        <f>IFERROR(VLOOKUP(O257, '[1]CURSOS 2025'!A:B, 2, FALSE), "")</f>
        <v/>
      </c>
      <c r="U257" s="48">
        <f t="shared" ref="U257:U261" si="39">SUM(R257)</f>
        <v>0</v>
      </c>
    </row>
    <row r="258" spans="1:21" s="40" customFormat="1" ht="39.950000000000003" customHeight="1" thickBot="1" x14ac:dyDescent="0.35">
      <c r="A258" s="30">
        <f t="array" ref="A258">IF(B258&lt;&gt;"",COUNTIF($B$19:B258,"&lt;&gt;"),"")</f>
        <v>210</v>
      </c>
      <c r="B258" s="41">
        <v>227</v>
      </c>
      <c r="C258" s="42" t="s">
        <v>530</v>
      </c>
      <c r="D258" s="43">
        <v>3893</v>
      </c>
      <c r="E258" s="42" t="s">
        <v>533</v>
      </c>
      <c r="F258" s="49" t="s">
        <v>504</v>
      </c>
      <c r="G258" s="36" t="s">
        <v>534</v>
      </c>
      <c r="H258" s="44"/>
      <c r="I258" s="44"/>
      <c r="J258" s="44"/>
      <c r="K258" s="44"/>
      <c r="L258" s="44"/>
      <c r="M258" s="44"/>
      <c r="N258" s="36"/>
      <c r="O258" s="36"/>
      <c r="P258" s="45"/>
      <c r="Q258" s="45"/>
      <c r="R258" s="44"/>
      <c r="S258" s="44" t="s">
        <v>33</v>
      </c>
      <c r="T258" s="30" t="str">
        <f>IFERROR(VLOOKUP(O258, '[1]CURSOS 2025'!A:B, 2, FALSE), "")</f>
        <v/>
      </c>
      <c r="U258" s="48">
        <f t="shared" si="39"/>
        <v>0</v>
      </c>
    </row>
    <row r="259" spans="1:21" s="40" customFormat="1" ht="39.950000000000003" customHeight="1" thickBot="1" x14ac:dyDescent="0.35">
      <c r="A259" s="30">
        <f t="array" ref="A259">IF(B259&lt;&gt;"",COUNTIF($B$19:B259,"&lt;&gt;"),"")</f>
        <v>211</v>
      </c>
      <c r="B259" s="41">
        <v>227</v>
      </c>
      <c r="C259" s="42" t="s">
        <v>530</v>
      </c>
      <c r="D259" s="43">
        <v>3866</v>
      </c>
      <c r="E259" s="42" t="s">
        <v>535</v>
      </c>
      <c r="F259" s="49" t="s">
        <v>504</v>
      </c>
      <c r="G259" s="36" t="s">
        <v>536</v>
      </c>
      <c r="H259" s="44"/>
      <c r="I259" s="44"/>
      <c r="J259" s="44"/>
      <c r="K259" s="44"/>
      <c r="L259" s="44"/>
      <c r="M259" s="44"/>
      <c r="N259" s="36"/>
      <c r="O259" s="36"/>
      <c r="P259" s="45"/>
      <c r="Q259" s="45"/>
      <c r="R259" s="44"/>
      <c r="S259" s="44" t="s">
        <v>33</v>
      </c>
      <c r="T259" s="30" t="str">
        <f>IFERROR(VLOOKUP(O259, '[1]CURSOS 2025'!A:B, 2, FALSE), "")</f>
        <v/>
      </c>
      <c r="U259" s="48">
        <f t="shared" si="39"/>
        <v>0</v>
      </c>
    </row>
    <row r="260" spans="1:21" s="40" customFormat="1" ht="39.950000000000003" customHeight="1" thickBot="1" x14ac:dyDescent="0.35">
      <c r="A260" s="30">
        <f t="array" ref="A260">IF(B260&lt;&gt;"",COUNTIF($B$19:B260,"&lt;&gt;"),"")</f>
        <v>212</v>
      </c>
      <c r="B260" s="41">
        <v>227</v>
      </c>
      <c r="C260" s="42" t="s">
        <v>530</v>
      </c>
      <c r="D260" s="43">
        <v>3850</v>
      </c>
      <c r="E260" s="42" t="s">
        <v>537</v>
      </c>
      <c r="F260" s="49" t="s">
        <v>504</v>
      </c>
      <c r="G260" s="36" t="s">
        <v>538</v>
      </c>
      <c r="H260" s="44"/>
      <c r="I260" s="44"/>
      <c r="J260" s="44"/>
      <c r="K260" s="44"/>
      <c r="L260" s="44"/>
      <c r="M260" s="44"/>
      <c r="N260" s="36"/>
      <c r="O260" s="36"/>
      <c r="P260" s="45"/>
      <c r="Q260" s="45"/>
      <c r="R260" s="44"/>
      <c r="S260" s="44" t="s">
        <v>33</v>
      </c>
      <c r="T260" s="30" t="str">
        <f>IFERROR(VLOOKUP(O260, '[1]CURSOS 2025'!A:B, 2, FALSE), "")</f>
        <v/>
      </c>
      <c r="U260" s="48">
        <f t="shared" si="39"/>
        <v>0</v>
      </c>
    </row>
    <row r="261" spans="1:21" s="40" customFormat="1" ht="39.950000000000003" customHeight="1" thickBot="1" x14ac:dyDescent="0.35">
      <c r="A261" s="30">
        <f t="array" ref="A261">IF(B261&lt;&gt;"",COUNTIF($B$19:B261,"&lt;&gt;"),"")</f>
        <v>213</v>
      </c>
      <c r="B261" s="41">
        <v>227</v>
      </c>
      <c r="C261" s="42" t="s">
        <v>530</v>
      </c>
      <c r="D261" s="43">
        <v>3891</v>
      </c>
      <c r="E261" s="42" t="s">
        <v>539</v>
      </c>
      <c r="F261" s="49" t="s">
        <v>504</v>
      </c>
      <c r="G261" s="36" t="s">
        <v>540</v>
      </c>
      <c r="H261" s="44"/>
      <c r="I261" s="44"/>
      <c r="J261" s="44"/>
      <c r="K261" s="44"/>
      <c r="L261" s="44"/>
      <c r="M261" s="44"/>
      <c r="N261" s="36"/>
      <c r="O261" s="36"/>
      <c r="P261" s="45"/>
      <c r="Q261" s="45"/>
      <c r="R261" s="44"/>
      <c r="S261" s="44" t="s">
        <v>33</v>
      </c>
      <c r="T261" s="30" t="str">
        <f>IFERROR(VLOOKUP(O261, '[1]CURSOS 2025'!A:B, 2, FALSE), "")</f>
        <v/>
      </c>
      <c r="U261" s="48">
        <f t="shared" si="39"/>
        <v>0</v>
      </c>
    </row>
    <row r="262" spans="1:21" s="40" customFormat="1" ht="39.950000000000003" customHeight="1" thickBot="1" x14ac:dyDescent="0.35">
      <c r="A262" s="30">
        <f t="array" ref="A262">IF(B262&lt;&gt;"",COUNTIF($B$19:B262,"&lt;&gt;"),"")</f>
        <v>214</v>
      </c>
      <c r="B262" s="41">
        <v>227</v>
      </c>
      <c r="C262" s="42" t="s">
        <v>45</v>
      </c>
      <c r="D262" s="43">
        <v>5702</v>
      </c>
      <c r="E262" s="42" t="s">
        <v>541</v>
      </c>
      <c r="F262" s="49" t="s">
        <v>504</v>
      </c>
      <c r="G262" s="36" t="s">
        <v>542</v>
      </c>
      <c r="H262" s="44"/>
      <c r="I262" s="44"/>
      <c r="J262" s="44"/>
      <c r="K262" s="44"/>
      <c r="L262" s="44"/>
      <c r="M262" s="44"/>
      <c r="N262" s="36"/>
      <c r="O262" s="36"/>
      <c r="P262" s="45"/>
      <c r="Q262" s="45"/>
      <c r="R262" s="44"/>
      <c r="S262" s="46" t="s">
        <v>37</v>
      </c>
      <c r="T262" s="30" t="str">
        <f>IFERROR(VLOOKUP(O262, '[1]CURSOS 2025'!A:B, 2, FALSE), "")</f>
        <v/>
      </c>
      <c r="U262" s="39">
        <f>SUM(R262:R262)</f>
        <v>0</v>
      </c>
    </row>
    <row r="263" spans="1:21" s="40" customFormat="1" ht="39.950000000000003" customHeight="1" thickBot="1" x14ac:dyDescent="0.35">
      <c r="A263" s="30">
        <f t="array" ref="A263">IF(B263&lt;&gt;"",COUNTIF($B$19:B263,"&lt;&gt;"),"")</f>
        <v>215</v>
      </c>
      <c r="B263" s="41">
        <v>227</v>
      </c>
      <c r="C263" s="42" t="s">
        <v>141</v>
      </c>
      <c r="D263" s="43">
        <v>3151</v>
      </c>
      <c r="E263" s="42" t="s">
        <v>543</v>
      </c>
      <c r="F263" s="49" t="s">
        <v>504</v>
      </c>
      <c r="G263" s="36" t="s">
        <v>544</v>
      </c>
      <c r="H263" s="44"/>
      <c r="I263" s="44"/>
      <c r="J263" s="44"/>
      <c r="K263" s="44"/>
      <c r="L263" s="44"/>
      <c r="M263" s="44"/>
      <c r="N263" s="36"/>
      <c r="O263" s="36"/>
      <c r="P263" s="45"/>
      <c r="Q263" s="45"/>
      <c r="R263" s="44"/>
      <c r="S263" s="46" t="s">
        <v>33</v>
      </c>
      <c r="T263" s="30" t="str">
        <f>IFERROR(VLOOKUP(O263, '[1]CURSOS 2025'!A:B, 2, FALSE), "")</f>
        <v/>
      </c>
      <c r="U263" s="39">
        <f>SUM(R263:R263)</f>
        <v>0</v>
      </c>
    </row>
    <row r="264" spans="1:21" s="40" customFormat="1" ht="39.950000000000003" customHeight="1" thickBot="1" x14ac:dyDescent="0.35">
      <c r="A264" s="30">
        <f t="array" ref="A264">IF(B264&lt;&gt;"",COUNTIF($B$19:B264,"&lt;&gt;"),"")</f>
        <v>216</v>
      </c>
      <c r="B264" s="41">
        <v>233</v>
      </c>
      <c r="C264" s="42" t="s">
        <v>545</v>
      </c>
      <c r="D264" s="43">
        <v>1356</v>
      </c>
      <c r="E264" s="42" t="s">
        <v>546</v>
      </c>
      <c r="F264" s="49" t="s">
        <v>504</v>
      </c>
      <c r="G264" s="36" t="s">
        <v>547</v>
      </c>
      <c r="H264" s="44"/>
      <c r="I264" s="44"/>
      <c r="J264" s="44"/>
      <c r="K264" s="44"/>
      <c r="L264" s="44"/>
      <c r="M264" s="44"/>
      <c r="N264" s="36"/>
      <c r="O264" s="36"/>
      <c r="P264" s="45"/>
      <c r="Q264" s="45"/>
      <c r="R264" s="44"/>
      <c r="S264" s="44" t="s">
        <v>33</v>
      </c>
      <c r="T264" s="30" t="str">
        <f>IFERROR(VLOOKUP(O264, '[1]CURSOS 2025'!A:B, 2, FALSE), "")</f>
        <v/>
      </c>
      <c r="U264" s="48">
        <f t="shared" ref="U264" si="40">SUM(R264)</f>
        <v>0</v>
      </c>
    </row>
    <row r="265" spans="1:21" s="40" customFormat="1" ht="39.950000000000003" customHeight="1" thickBot="1" x14ac:dyDescent="0.35">
      <c r="A265" s="30">
        <f t="array" ref="A265">IF(B265&lt;&gt;"",COUNTIF($B$19:B265,"&lt;&gt;"),"")</f>
        <v>217</v>
      </c>
      <c r="B265" s="41">
        <v>227</v>
      </c>
      <c r="C265" s="42" t="s">
        <v>141</v>
      </c>
      <c r="D265" s="43">
        <v>20151</v>
      </c>
      <c r="E265" s="42" t="s">
        <v>548</v>
      </c>
      <c r="F265" s="49" t="s">
        <v>504</v>
      </c>
      <c r="G265" s="36" t="s">
        <v>549</v>
      </c>
      <c r="H265" s="44"/>
      <c r="I265" s="44"/>
      <c r="J265" s="44"/>
      <c r="K265" s="44"/>
      <c r="L265" s="44"/>
      <c r="M265" s="44"/>
      <c r="N265" s="36"/>
      <c r="O265" s="36"/>
      <c r="P265" s="45"/>
      <c r="Q265" s="45"/>
      <c r="R265" s="44"/>
      <c r="S265" s="46" t="s">
        <v>33</v>
      </c>
      <c r="T265" s="30" t="str">
        <f>IFERROR(VLOOKUP(O265, '[1]CURSOS 2025'!A:B, 2, FALSE), "")</f>
        <v/>
      </c>
      <c r="U265" s="39">
        <f>SUM(R265:R265)</f>
        <v>0</v>
      </c>
    </row>
    <row r="266" spans="1:21" s="40" customFormat="1" ht="39.950000000000003" customHeight="1" thickBot="1" x14ac:dyDescent="0.35">
      <c r="A266" s="30">
        <f t="array" ref="A266">IF(B266&lt;&gt;"",COUNTIF($B$19:B266,"&lt;&gt;"),"")</f>
        <v>218</v>
      </c>
      <c r="B266" s="41">
        <v>227</v>
      </c>
      <c r="C266" s="42" t="s">
        <v>550</v>
      </c>
      <c r="D266" s="43">
        <v>1835</v>
      </c>
      <c r="E266" s="42" t="s">
        <v>551</v>
      </c>
      <c r="F266" s="49" t="s">
        <v>504</v>
      </c>
      <c r="G266" s="36" t="s">
        <v>552</v>
      </c>
      <c r="H266" s="44"/>
      <c r="I266" s="44"/>
      <c r="J266" s="44"/>
      <c r="K266" s="44"/>
      <c r="L266" s="44"/>
      <c r="M266" s="44"/>
      <c r="N266" s="36"/>
      <c r="O266" s="36"/>
      <c r="P266" s="45"/>
      <c r="Q266" s="45"/>
      <c r="R266" s="44"/>
      <c r="S266" s="44" t="s">
        <v>33</v>
      </c>
      <c r="T266" s="30" t="str">
        <f>IFERROR(VLOOKUP(O266, '[1]CURSOS 2025'!A:B, 2, FALSE), "")</f>
        <v/>
      </c>
      <c r="U266" s="48">
        <f t="shared" ref="U266:U271" si="41">SUM(R266)</f>
        <v>0</v>
      </c>
    </row>
    <row r="267" spans="1:21" s="40" customFormat="1" ht="39.950000000000003" customHeight="1" thickBot="1" x14ac:dyDescent="0.35">
      <c r="A267" s="30">
        <f t="array" ref="A267">IF(B267&lt;&gt;"",COUNTIF($B$19:B267,"&lt;&gt;"),"")</f>
        <v>219</v>
      </c>
      <c r="B267" s="41">
        <v>233</v>
      </c>
      <c r="C267" s="42" t="s">
        <v>553</v>
      </c>
      <c r="D267" s="43">
        <v>3575</v>
      </c>
      <c r="E267" s="42" t="s">
        <v>554</v>
      </c>
      <c r="F267" s="49" t="s">
        <v>504</v>
      </c>
      <c r="G267" s="36" t="s">
        <v>555</v>
      </c>
      <c r="H267" s="44"/>
      <c r="I267" s="44"/>
      <c r="J267" s="44"/>
      <c r="K267" s="44"/>
      <c r="L267" s="44"/>
      <c r="M267" s="44"/>
      <c r="N267" s="36"/>
      <c r="O267" s="36"/>
      <c r="P267" s="45"/>
      <c r="Q267" s="45"/>
      <c r="R267" s="44"/>
      <c r="S267" s="44" t="s">
        <v>33</v>
      </c>
      <c r="T267" s="30" t="str">
        <f>IFERROR(VLOOKUP(O267, '[1]CURSOS 2025'!A:B, 2, FALSE), "")</f>
        <v/>
      </c>
      <c r="U267" s="48">
        <f t="shared" si="41"/>
        <v>0</v>
      </c>
    </row>
    <row r="268" spans="1:21" s="40" customFormat="1" ht="39.950000000000003" customHeight="1" thickBot="1" x14ac:dyDescent="0.35">
      <c r="A268" s="30">
        <f t="array" ref="A268">IF(B268&lt;&gt;"",COUNTIF($B$19:B268,"&lt;&gt;"),"")</f>
        <v>220</v>
      </c>
      <c r="B268" s="41">
        <v>233</v>
      </c>
      <c r="C268" s="42" t="s">
        <v>553</v>
      </c>
      <c r="D268" s="43">
        <v>3551</v>
      </c>
      <c r="E268" s="42" t="s">
        <v>556</v>
      </c>
      <c r="F268" s="49" t="s">
        <v>504</v>
      </c>
      <c r="G268" s="36" t="s">
        <v>557</v>
      </c>
      <c r="H268" s="44"/>
      <c r="I268" s="44"/>
      <c r="J268" s="44"/>
      <c r="K268" s="44"/>
      <c r="L268" s="44"/>
      <c r="M268" s="44"/>
      <c r="N268" s="36"/>
      <c r="O268" s="36"/>
      <c r="P268" s="45"/>
      <c r="Q268" s="45"/>
      <c r="R268" s="44"/>
      <c r="S268" s="44" t="s">
        <v>33</v>
      </c>
      <c r="T268" s="30" t="str">
        <f>IFERROR(VLOOKUP(O268, '[1]CURSOS 2025'!A:B, 2, FALSE), "")</f>
        <v/>
      </c>
      <c r="U268" s="48">
        <f t="shared" si="41"/>
        <v>0</v>
      </c>
    </row>
    <row r="269" spans="1:21" s="40" customFormat="1" ht="39.950000000000003" customHeight="1" thickBot="1" x14ac:dyDescent="0.35">
      <c r="A269" s="30">
        <f t="array" ref="A269">IF(B269&lt;&gt;"",COUNTIF($B$19:B269,"&lt;&gt;"),"")</f>
        <v>221</v>
      </c>
      <c r="B269" s="41">
        <v>233</v>
      </c>
      <c r="C269" s="42" t="s">
        <v>553</v>
      </c>
      <c r="D269" s="43">
        <v>3478</v>
      </c>
      <c r="E269" s="42" t="s">
        <v>558</v>
      </c>
      <c r="F269" s="49" t="s">
        <v>504</v>
      </c>
      <c r="G269" s="36" t="s">
        <v>559</v>
      </c>
      <c r="H269" s="44"/>
      <c r="I269" s="44"/>
      <c r="J269" s="44"/>
      <c r="K269" s="44"/>
      <c r="L269" s="44"/>
      <c r="M269" s="44"/>
      <c r="N269" s="36"/>
      <c r="O269" s="36"/>
      <c r="P269" s="45"/>
      <c r="Q269" s="45"/>
      <c r="R269" s="44"/>
      <c r="S269" s="44" t="s">
        <v>33</v>
      </c>
      <c r="T269" s="30" t="str">
        <f>IFERROR(VLOOKUP(O269, '[1]CURSOS 2025'!A:B, 2, FALSE), "")</f>
        <v/>
      </c>
      <c r="U269" s="48">
        <f t="shared" si="41"/>
        <v>0</v>
      </c>
    </row>
    <row r="270" spans="1:21" s="40" customFormat="1" ht="39.950000000000003" customHeight="1" thickBot="1" x14ac:dyDescent="0.35">
      <c r="A270" s="30">
        <f t="array" ref="A270">IF(B270&lt;&gt;"",COUNTIF($B$19:B270,"&lt;&gt;"),"")</f>
        <v>222</v>
      </c>
      <c r="B270" s="41">
        <v>233</v>
      </c>
      <c r="C270" s="42" t="s">
        <v>553</v>
      </c>
      <c r="D270" s="43">
        <v>3683</v>
      </c>
      <c r="E270" s="42" t="s">
        <v>560</v>
      </c>
      <c r="F270" s="49" t="s">
        <v>504</v>
      </c>
      <c r="G270" s="36" t="s">
        <v>561</v>
      </c>
      <c r="H270" s="44"/>
      <c r="I270" s="44"/>
      <c r="J270" s="44"/>
      <c r="K270" s="44"/>
      <c r="L270" s="44"/>
      <c r="M270" s="44"/>
      <c r="N270" s="36"/>
      <c r="O270" s="36"/>
      <c r="P270" s="45"/>
      <c r="Q270" s="45"/>
      <c r="R270" s="44"/>
      <c r="S270" s="44" t="s">
        <v>33</v>
      </c>
      <c r="T270" s="30" t="str">
        <f>IFERROR(VLOOKUP(O270, '[1]CURSOS 2025'!A:B, 2, FALSE), "")</f>
        <v/>
      </c>
      <c r="U270" s="48">
        <f t="shared" si="41"/>
        <v>0</v>
      </c>
    </row>
    <row r="271" spans="1:21" s="40" customFormat="1" ht="39.950000000000003" customHeight="1" thickBot="1" x14ac:dyDescent="0.35">
      <c r="A271" s="30">
        <f t="array" ref="A271">IF(B271&lt;&gt;"",COUNTIF($B$19:B271,"&lt;&gt;"),"")</f>
        <v>223</v>
      </c>
      <c r="B271" s="41">
        <v>227</v>
      </c>
      <c r="C271" s="42" t="s">
        <v>553</v>
      </c>
      <c r="D271" s="43">
        <v>3271</v>
      </c>
      <c r="E271" s="42" t="s">
        <v>562</v>
      </c>
      <c r="F271" s="49" t="s">
        <v>504</v>
      </c>
      <c r="G271" s="36" t="s">
        <v>563</v>
      </c>
      <c r="H271" s="44"/>
      <c r="I271" s="44"/>
      <c r="J271" s="44"/>
      <c r="K271" s="44"/>
      <c r="L271" s="44"/>
      <c r="M271" s="44"/>
      <c r="N271" s="36"/>
      <c r="O271" s="36"/>
      <c r="P271" s="45"/>
      <c r="Q271" s="45"/>
      <c r="R271" s="44"/>
      <c r="S271" s="44" t="s">
        <v>33</v>
      </c>
      <c r="T271" s="30" t="str">
        <f>IFERROR(VLOOKUP(O271, '[1]CURSOS 2025'!A:B, 2, FALSE), "")</f>
        <v/>
      </c>
      <c r="U271" s="48">
        <f t="shared" si="41"/>
        <v>0</v>
      </c>
    </row>
    <row r="272" spans="1:21" s="40" customFormat="1" ht="39.950000000000003" customHeight="1" thickBot="1" x14ac:dyDescent="0.35">
      <c r="A272" s="30">
        <f t="array" ref="A272">IF(B272&lt;&gt;"",COUNTIF($B$19:B272,"&lt;&gt;"),"")</f>
        <v>224</v>
      </c>
      <c r="B272" s="41">
        <v>227</v>
      </c>
      <c r="C272" s="42" t="s">
        <v>141</v>
      </c>
      <c r="D272" s="43">
        <v>3154</v>
      </c>
      <c r="E272" s="42" t="s">
        <v>564</v>
      </c>
      <c r="F272" s="49" t="s">
        <v>504</v>
      </c>
      <c r="G272" s="36" t="s">
        <v>565</v>
      </c>
      <c r="H272" s="44"/>
      <c r="I272" s="44"/>
      <c r="J272" s="44"/>
      <c r="K272" s="44"/>
      <c r="L272" s="44"/>
      <c r="M272" s="44"/>
      <c r="N272" s="36"/>
      <c r="O272" s="36"/>
      <c r="P272" s="45"/>
      <c r="Q272" s="45"/>
      <c r="R272" s="44"/>
      <c r="S272" s="46" t="s">
        <v>33</v>
      </c>
      <c r="T272" s="30" t="str">
        <f>IFERROR(VLOOKUP(O272, '[1]CURSOS 2025'!A:B, 2, FALSE), "")</f>
        <v/>
      </c>
      <c r="U272" s="39">
        <f>SUM(R272:R272)</f>
        <v>0</v>
      </c>
    </row>
    <row r="273" spans="1:21" s="40" customFormat="1" ht="39.950000000000003" customHeight="1" thickBot="1" x14ac:dyDescent="0.35">
      <c r="A273" s="30">
        <f t="array" ref="A273">IF(B273&lt;&gt;"",COUNTIF($B$19:B273,"&lt;&gt;"),"")</f>
        <v>225</v>
      </c>
      <c r="B273" s="41">
        <v>233</v>
      </c>
      <c r="C273" s="42" t="s">
        <v>553</v>
      </c>
      <c r="D273" s="43">
        <v>3614</v>
      </c>
      <c r="E273" s="42" t="s">
        <v>566</v>
      </c>
      <c r="F273" s="49" t="s">
        <v>504</v>
      </c>
      <c r="G273" s="36" t="s">
        <v>567</v>
      </c>
      <c r="H273" s="44"/>
      <c r="I273" s="44"/>
      <c r="J273" s="44"/>
      <c r="K273" s="44"/>
      <c r="L273" s="44"/>
      <c r="M273" s="44"/>
      <c r="N273" s="36"/>
      <c r="O273" s="36"/>
      <c r="P273" s="45"/>
      <c r="Q273" s="45"/>
      <c r="R273" s="44"/>
      <c r="S273" s="44" t="s">
        <v>33</v>
      </c>
      <c r="T273" s="30" t="str">
        <f>IFERROR(VLOOKUP(O273, '[1]CURSOS 2025'!A:B, 2, FALSE), "")</f>
        <v/>
      </c>
      <c r="U273" s="48">
        <f t="shared" ref="U273:U274" si="42">SUM(R273)</f>
        <v>0</v>
      </c>
    </row>
    <row r="274" spans="1:21" s="40" customFormat="1" ht="39.950000000000003" customHeight="1" thickBot="1" x14ac:dyDescent="0.35">
      <c r="A274" s="30">
        <f t="array" ref="A274">IF(B274&lt;&gt;"",COUNTIF($B$19:B274,"&lt;&gt;"),"")</f>
        <v>226</v>
      </c>
      <c r="B274" s="41">
        <v>233</v>
      </c>
      <c r="C274" s="42" t="s">
        <v>545</v>
      </c>
      <c r="D274" s="43">
        <v>3353</v>
      </c>
      <c r="E274" s="42" t="s">
        <v>568</v>
      </c>
      <c r="F274" s="49" t="s">
        <v>504</v>
      </c>
      <c r="G274" s="36" t="s">
        <v>569</v>
      </c>
      <c r="H274" s="44"/>
      <c r="I274" s="44"/>
      <c r="J274" s="44"/>
      <c r="K274" s="44"/>
      <c r="L274" s="44"/>
      <c r="M274" s="44"/>
      <c r="N274" s="36"/>
      <c r="O274" s="36"/>
      <c r="P274" s="45"/>
      <c r="Q274" s="45"/>
      <c r="R274" s="44"/>
      <c r="S274" s="44" t="s">
        <v>33</v>
      </c>
      <c r="T274" s="30" t="str">
        <f>IFERROR(VLOOKUP(O274, '[1]CURSOS 2025'!A:B, 2, FALSE), "")</f>
        <v/>
      </c>
      <c r="U274" s="48">
        <f t="shared" si="42"/>
        <v>0</v>
      </c>
    </row>
    <row r="275" spans="1:21" s="40" customFormat="1" ht="39.950000000000003" customHeight="1" thickBot="1" x14ac:dyDescent="0.35">
      <c r="A275" s="30">
        <f t="array" ref="A275">IF(B275&lt;&gt;"",COUNTIF($B$19:B275,"&lt;&gt;"),"")</f>
        <v>227</v>
      </c>
      <c r="B275" s="41">
        <v>227</v>
      </c>
      <c r="C275" s="42" t="s">
        <v>570</v>
      </c>
      <c r="D275" s="43">
        <v>205646</v>
      </c>
      <c r="E275" s="42" t="s">
        <v>571</v>
      </c>
      <c r="F275" s="49" t="s">
        <v>504</v>
      </c>
      <c r="G275" s="36" t="s">
        <v>572</v>
      </c>
      <c r="H275" s="44"/>
      <c r="I275" s="44"/>
      <c r="J275" s="44"/>
      <c r="K275" s="44"/>
      <c r="L275" s="44"/>
      <c r="M275" s="44"/>
      <c r="N275" s="36"/>
      <c r="O275" s="36"/>
      <c r="P275" s="45"/>
      <c r="Q275" s="45"/>
      <c r="R275" s="44"/>
      <c r="S275" s="46" t="s">
        <v>33</v>
      </c>
      <c r="T275" s="30" t="str">
        <f>IFERROR(VLOOKUP(O275, '[1]CURSOS 2025'!A:B, 2, FALSE), "")</f>
        <v/>
      </c>
      <c r="U275" s="39">
        <f>SUM(R275:R275)</f>
        <v>0</v>
      </c>
    </row>
    <row r="276" spans="1:21" s="40" customFormat="1" ht="39.950000000000003" customHeight="1" thickBot="1" x14ac:dyDescent="0.35">
      <c r="A276" s="30">
        <f t="array" ref="A276">IF(B276&lt;&gt;"",COUNTIF($B$19:B276,"&lt;&gt;"),"")</f>
        <v>228</v>
      </c>
      <c r="B276" s="41">
        <v>233</v>
      </c>
      <c r="C276" s="42" t="s">
        <v>45</v>
      </c>
      <c r="D276" s="43" t="s">
        <v>573</v>
      </c>
      <c r="E276" s="42" t="s">
        <v>574</v>
      </c>
      <c r="F276" s="49" t="s">
        <v>504</v>
      </c>
      <c r="G276" s="36" t="s">
        <v>575</v>
      </c>
      <c r="H276" s="44"/>
      <c r="I276" s="44"/>
      <c r="J276" s="44"/>
      <c r="K276" s="44"/>
      <c r="L276" s="44"/>
      <c r="M276" s="44"/>
      <c r="N276" s="36"/>
      <c r="O276" s="36"/>
      <c r="P276" s="45"/>
      <c r="Q276" s="45"/>
      <c r="R276" s="44"/>
      <c r="S276" s="46" t="s">
        <v>33</v>
      </c>
      <c r="T276" s="30" t="str">
        <f>IFERROR(VLOOKUP(O276, '[1]CURSOS 2025'!A:B, 2, FALSE), "")</f>
        <v/>
      </c>
      <c r="U276" s="39">
        <f>SUM(R276:R276)</f>
        <v>0</v>
      </c>
    </row>
    <row r="277" spans="1:21" s="59" customFormat="1" ht="39.950000000000003" customHeight="1" thickBot="1" x14ac:dyDescent="0.35">
      <c r="A277" s="30" t="str">
        <f t="array" ref="A277">IF(B277&lt;&gt;"",COUNTIF($B$19:B277,"&lt;&gt;"),"")</f>
        <v/>
      </c>
      <c r="B277" s="50"/>
      <c r="C277" s="51"/>
      <c r="D277" s="52"/>
      <c r="E277" s="51"/>
      <c r="F277" s="53"/>
      <c r="G277" s="53"/>
      <c r="H277" s="54"/>
      <c r="I277" s="54"/>
      <c r="J277" s="54"/>
      <c r="K277" s="54"/>
      <c r="L277" s="54"/>
      <c r="M277" s="54"/>
      <c r="N277" s="55"/>
      <c r="O277" s="55"/>
      <c r="P277" s="56"/>
      <c r="Q277" s="56"/>
      <c r="R277" s="54"/>
      <c r="S277" s="54"/>
      <c r="T277" s="57" t="str">
        <f>IFERROR(VLOOKUP(O277, '[1]CURSOS 2025'!A:B, 2, FALSE), "")</f>
        <v/>
      </c>
      <c r="U277" s="58"/>
    </row>
    <row r="278" spans="1:21" s="40" customFormat="1" ht="39.75" customHeight="1" thickBot="1" x14ac:dyDescent="0.35">
      <c r="A278" s="30">
        <f t="array" ref="A278">IF(B278&lt;&gt;"",COUNTIF($B$19:B278,"&lt;&gt;"),"")</f>
        <v>229</v>
      </c>
      <c r="B278" s="41">
        <v>228</v>
      </c>
      <c r="C278" s="42" t="s">
        <v>42</v>
      </c>
      <c r="D278" s="43">
        <v>20425</v>
      </c>
      <c r="E278" s="42" t="s">
        <v>576</v>
      </c>
      <c r="F278" s="49" t="s">
        <v>577</v>
      </c>
      <c r="G278" s="36" t="s">
        <v>578</v>
      </c>
      <c r="H278" s="44"/>
      <c r="I278" s="44"/>
      <c r="J278" s="44"/>
      <c r="K278" s="44"/>
      <c r="L278" s="44"/>
      <c r="M278" s="44"/>
      <c r="N278" s="36"/>
      <c r="O278" s="36"/>
      <c r="P278" s="45"/>
      <c r="Q278" s="45"/>
      <c r="R278" s="44"/>
      <c r="S278" s="46" t="s">
        <v>33</v>
      </c>
      <c r="T278" s="30" t="str">
        <f>IFERROR(VLOOKUP(O278, '[1]CURSOS 2025'!A:B, 2, FALSE), "")</f>
        <v/>
      </c>
      <c r="U278" s="39">
        <f t="shared" ref="U278:U284" si="43">SUM(R278:R278)</f>
        <v>0</v>
      </c>
    </row>
    <row r="279" spans="1:21" s="40" customFormat="1" ht="39.950000000000003" customHeight="1" thickBot="1" x14ac:dyDescent="0.35">
      <c r="A279" s="30">
        <f t="array" ref="A279">IF(B279&lt;&gt;"",COUNTIF($B$19:B279,"&lt;&gt;"),"")</f>
        <v>230</v>
      </c>
      <c r="B279" s="41">
        <v>228</v>
      </c>
      <c r="C279" s="42" t="s">
        <v>579</v>
      </c>
      <c r="D279" s="43">
        <v>1277</v>
      </c>
      <c r="E279" s="42" t="s">
        <v>580</v>
      </c>
      <c r="F279" s="49" t="s">
        <v>577</v>
      </c>
      <c r="G279" s="36" t="s">
        <v>581</v>
      </c>
      <c r="H279" s="44"/>
      <c r="I279" s="44"/>
      <c r="J279" s="44"/>
      <c r="K279" s="44"/>
      <c r="L279" s="44"/>
      <c r="M279" s="44"/>
      <c r="N279" s="36"/>
      <c r="O279" s="36"/>
      <c r="P279" s="45"/>
      <c r="Q279" s="45"/>
      <c r="R279" s="44"/>
      <c r="S279" s="46" t="s">
        <v>33</v>
      </c>
      <c r="T279" s="30" t="str">
        <f>IFERROR(VLOOKUP(O279, '[1]CURSOS 2025'!A:B, 2, FALSE), "")</f>
        <v/>
      </c>
      <c r="U279" s="39">
        <f t="shared" si="43"/>
        <v>0</v>
      </c>
    </row>
    <row r="280" spans="1:21" s="40" customFormat="1" ht="39.950000000000003" customHeight="1" thickBot="1" x14ac:dyDescent="0.35">
      <c r="A280" s="30">
        <f t="array" ref="A280">IF(B280&lt;&gt;"",COUNTIF($B$19:B280,"&lt;&gt;"),"")</f>
        <v>231</v>
      </c>
      <c r="B280" s="41">
        <v>228</v>
      </c>
      <c r="C280" s="42" t="s">
        <v>38</v>
      </c>
      <c r="D280" s="43">
        <v>205673</v>
      </c>
      <c r="E280" s="42" t="s">
        <v>582</v>
      </c>
      <c r="F280" s="49" t="s">
        <v>577</v>
      </c>
      <c r="G280" s="36" t="s">
        <v>583</v>
      </c>
      <c r="H280" s="44"/>
      <c r="I280" s="44"/>
      <c r="J280" s="44"/>
      <c r="K280" s="44"/>
      <c r="L280" s="44"/>
      <c r="M280" s="44"/>
      <c r="N280" s="36"/>
      <c r="O280" s="36"/>
      <c r="P280" s="45"/>
      <c r="Q280" s="45"/>
      <c r="R280" s="44"/>
      <c r="S280" s="46" t="s">
        <v>37</v>
      </c>
      <c r="T280" s="30" t="str">
        <f>IFERROR(VLOOKUP(O280, '[1]CURSOS 2025'!A:B, 2, FALSE), "")</f>
        <v/>
      </c>
      <c r="U280" s="39">
        <f t="shared" si="43"/>
        <v>0</v>
      </c>
    </row>
    <row r="281" spans="1:21" s="40" customFormat="1" ht="39.950000000000003" customHeight="1" thickBot="1" x14ac:dyDescent="0.35">
      <c r="A281" s="30">
        <f t="array" ref="A281">IF(B281&lt;&gt;"",COUNTIF($B$19:B281,"&lt;&gt;"),"")</f>
        <v>232</v>
      </c>
      <c r="B281" s="41">
        <v>228</v>
      </c>
      <c r="C281" s="42" t="s">
        <v>57</v>
      </c>
      <c r="D281" s="43">
        <v>6006</v>
      </c>
      <c r="E281" s="42" t="s">
        <v>584</v>
      </c>
      <c r="F281" s="49" t="s">
        <v>577</v>
      </c>
      <c r="G281" s="36" t="s">
        <v>585</v>
      </c>
      <c r="H281" s="44" t="s">
        <v>231</v>
      </c>
      <c r="I281" s="44" t="s">
        <v>231</v>
      </c>
      <c r="J281" s="44" t="s">
        <v>231</v>
      </c>
      <c r="K281" s="44"/>
      <c r="L281" s="44"/>
      <c r="M281" s="44"/>
      <c r="N281" s="36" t="s">
        <v>1743</v>
      </c>
      <c r="O281" s="36" t="s">
        <v>2315</v>
      </c>
      <c r="P281" s="45">
        <v>46125</v>
      </c>
      <c r="Q281" s="45">
        <v>46125</v>
      </c>
      <c r="R281" s="44">
        <v>1</v>
      </c>
      <c r="S281" s="46" t="s">
        <v>37</v>
      </c>
      <c r="T281" s="30" t="s">
        <v>234</v>
      </c>
      <c r="U281" s="39">
        <f t="shared" si="43"/>
        <v>1</v>
      </c>
    </row>
    <row r="282" spans="1:21" s="40" customFormat="1" ht="39.950000000000003" customHeight="1" thickBot="1" x14ac:dyDescent="0.35">
      <c r="A282" s="30">
        <f t="array" ref="A282">IF(B282&lt;&gt;"",COUNTIF($B$19:B282,"&lt;&gt;"),"")</f>
        <v>233</v>
      </c>
      <c r="B282" s="41">
        <v>228</v>
      </c>
      <c r="C282" s="42" t="s">
        <v>45</v>
      </c>
      <c r="D282" s="43">
        <v>6119</v>
      </c>
      <c r="E282" s="42" t="s">
        <v>586</v>
      </c>
      <c r="F282" s="49" t="s">
        <v>577</v>
      </c>
      <c r="G282" s="36" t="s">
        <v>587</v>
      </c>
      <c r="H282" s="44"/>
      <c r="I282" s="44"/>
      <c r="J282" s="44"/>
      <c r="K282" s="44"/>
      <c r="L282" s="44"/>
      <c r="M282" s="44"/>
      <c r="N282" s="36"/>
      <c r="O282" s="36"/>
      <c r="P282" s="45"/>
      <c r="Q282" s="45"/>
      <c r="R282" s="44"/>
      <c r="S282" s="46" t="s">
        <v>33</v>
      </c>
      <c r="T282" s="30" t="str">
        <f>IFERROR(VLOOKUP(O282, '[1]CURSOS 2025'!A:B, 2, FALSE), "")</f>
        <v/>
      </c>
      <c r="U282" s="39">
        <f t="shared" si="43"/>
        <v>0</v>
      </c>
    </row>
    <row r="283" spans="1:21" s="40" customFormat="1" ht="39.950000000000003" customHeight="1" thickBot="1" x14ac:dyDescent="0.35">
      <c r="A283" s="30">
        <f t="array" ref="A283">IF(B283&lt;&gt;"",COUNTIF($B$19:B283,"&lt;&gt;"),"")</f>
        <v>234</v>
      </c>
      <c r="B283" s="41">
        <v>228</v>
      </c>
      <c r="C283" s="42" t="s">
        <v>45</v>
      </c>
      <c r="D283" s="43">
        <v>5159</v>
      </c>
      <c r="E283" s="42" t="s">
        <v>588</v>
      </c>
      <c r="F283" s="49" t="s">
        <v>577</v>
      </c>
      <c r="G283" s="36" t="s">
        <v>589</v>
      </c>
      <c r="H283" s="44"/>
      <c r="I283" s="44"/>
      <c r="J283" s="44"/>
      <c r="K283" s="44"/>
      <c r="L283" s="44"/>
      <c r="M283" s="44"/>
      <c r="N283" s="36"/>
      <c r="O283" s="36"/>
      <c r="P283" s="45"/>
      <c r="Q283" s="45"/>
      <c r="R283" s="44"/>
      <c r="S283" s="46" t="s">
        <v>37</v>
      </c>
      <c r="T283" s="30" t="str">
        <f>IFERROR(VLOOKUP(O283, '[1]CURSOS 2025'!A:B, 2, FALSE), "")</f>
        <v/>
      </c>
      <c r="U283" s="39">
        <f t="shared" si="43"/>
        <v>0</v>
      </c>
    </row>
    <row r="284" spans="1:21" s="40" customFormat="1" ht="39.950000000000003" customHeight="1" thickBot="1" x14ac:dyDescent="0.35">
      <c r="A284" s="30">
        <f t="array" ref="A284">IF(B284&lt;&gt;"",COUNTIF($B$19:B284,"&lt;&gt;"),"")</f>
        <v>235</v>
      </c>
      <c r="B284" s="41">
        <v>228</v>
      </c>
      <c r="C284" s="42" t="s">
        <v>483</v>
      </c>
      <c r="D284" s="43" t="s">
        <v>590</v>
      </c>
      <c r="E284" s="42" t="s">
        <v>591</v>
      </c>
      <c r="F284" s="49" t="s">
        <v>577</v>
      </c>
      <c r="G284" s="36" t="s">
        <v>592</v>
      </c>
      <c r="H284" s="44"/>
      <c r="I284" s="44"/>
      <c r="J284" s="44"/>
      <c r="K284" s="44"/>
      <c r="L284" s="44"/>
      <c r="M284" s="44"/>
      <c r="N284" s="36"/>
      <c r="O284" s="36"/>
      <c r="P284" s="45"/>
      <c r="Q284" s="45"/>
      <c r="R284" s="44"/>
      <c r="S284" s="46" t="s">
        <v>37</v>
      </c>
      <c r="T284" s="30" t="str">
        <f>IFERROR(VLOOKUP(O284, '[1]CURSOS 2025'!A:B, 2, FALSE), "")</f>
        <v/>
      </c>
      <c r="U284" s="39">
        <f t="shared" si="43"/>
        <v>0</v>
      </c>
    </row>
    <row r="285" spans="1:21" s="40" customFormat="1" ht="39.75" customHeight="1" thickBot="1" x14ac:dyDescent="0.35">
      <c r="A285" s="30">
        <f t="array" ref="A285">IF(B285&lt;&gt;"",COUNTIF($B$19:B285,"&lt;&gt;"),"")</f>
        <v>236</v>
      </c>
      <c r="B285" s="41">
        <v>228</v>
      </c>
      <c r="C285" s="42" t="s">
        <v>593</v>
      </c>
      <c r="D285" s="43">
        <v>20853</v>
      </c>
      <c r="E285" s="42" t="s">
        <v>594</v>
      </c>
      <c r="F285" s="49" t="s">
        <v>577</v>
      </c>
      <c r="G285" s="36" t="s">
        <v>595</v>
      </c>
      <c r="H285" s="44"/>
      <c r="I285" s="44"/>
      <c r="J285" s="44"/>
      <c r="K285" s="44"/>
      <c r="L285" s="44"/>
      <c r="M285" s="44"/>
      <c r="N285" s="36"/>
      <c r="O285" s="36"/>
      <c r="P285" s="45"/>
      <c r="Q285" s="45"/>
      <c r="R285" s="44"/>
      <c r="S285" s="46" t="s">
        <v>33</v>
      </c>
      <c r="T285" s="30" t="str">
        <f>IFERROR(VLOOKUP(O285, '[1]CURSOS 2025'!A:B, 2, FALSE), "")</f>
        <v/>
      </c>
      <c r="U285" s="39">
        <f>SUM(R285:R285)</f>
        <v>0</v>
      </c>
    </row>
    <row r="286" spans="1:21" s="40" customFormat="1" ht="39.950000000000003" customHeight="1" thickBot="1" x14ac:dyDescent="0.35">
      <c r="A286" s="30">
        <f t="array" ref="A286">IF(B286&lt;&gt;"",COUNTIF($B$19:B286,"&lt;&gt;"),"")</f>
        <v>237</v>
      </c>
      <c r="B286" s="41">
        <v>228</v>
      </c>
      <c r="C286" s="42" t="s">
        <v>141</v>
      </c>
      <c r="D286" s="43">
        <v>1299</v>
      </c>
      <c r="E286" s="42" t="s">
        <v>596</v>
      </c>
      <c r="F286" s="49" t="s">
        <v>577</v>
      </c>
      <c r="G286" s="36" t="s">
        <v>597</v>
      </c>
      <c r="H286" s="44"/>
      <c r="I286" s="44"/>
      <c r="J286" s="44"/>
      <c r="K286" s="44"/>
      <c r="L286" s="44"/>
      <c r="M286" s="44"/>
      <c r="N286" s="36"/>
      <c r="O286" s="36"/>
      <c r="P286" s="45"/>
      <c r="Q286" s="45"/>
      <c r="R286" s="44"/>
      <c r="S286" s="44" t="s">
        <v>33</v>
      </c>
      <c r="T286" s="30" t="str">
        <f>IFERROR(VLOOKUP(O286, '[1]CURSOS 2025'!A:B, 2, FALSE), "")</f>
        <v/>
      </c>
      <c r="U286" s="48">
        <f t="shared" ref="U286" si="44">SUM(R286)</f>
        <v>0</v>
      </c>
    </row>
    <row r="287" spans="1:21" s="40" customFormat="1" ht="39.950000000000003" customHeight="1" thickBot="1" x14ac:dyDescent="0.35">
      <c r="A287" s="30">
        <f t="array" ref="A287">IF(B287&lt;&gt;"",COUNTIF($B$19:B287,"&lt;&gt;"),"")</f>
        <v>238</v>
      </c>
      <c r="B287" s="41">
        <v>228</v>
      </c>
      <c r="C287" s="42" t="s">
        <v>598</v>
      </c>
      <c r="D287" s="43">
        <v>3290</v>
      </c>
      <c r="E287" s="42" t="s">
        <v>599</v>
      </c>
      <c r="F287" s="49" t="s">
        <v>577</v>
      </c>
      <c r="G287" s="36" t="s">
        <v>600</v>
      </c>
      <c r="H287" s="44"/>
      <c r="I287" s="44"/>
      <c r="J287" s="44"/>
      <c r="K287" s="44"/>
      <c r="L287" s="44"/>
      <c r="M287" s="44"/>
      <c r="N287" s="36"/>
      <c r="O287" s="36"/>
      <c r="P287" s="45"/>
      <c r="Q287" s="45"/>
      <c r="R287" s="44"/>
      <c r="S287" s="46" t="s">
        <v>33</v>
      </c>
      <c r="T287" s="30" t="str">
        <f>IFERROR(VLOOKUP(O287, '[1]CURSOS 2025'!A:B, 2, FALSE), "")</f>
        <v/>
      </c>
      <c r="U287" s="39">
        <f t="shared" ref="U287:U299" si="45">SUM(R287:R287)</f>
        <v>0</v>
      </c>
    </row>
    <row r="288" spans="1:21" s="40" customFormat="1" ht="39.950000000000003" customHeight="1" thickBot="1" x14ac:dyDescent="0.35">
      <c r="A288" s="30">
        <f t="array" ref="A288">IF(B288&lt;&gt;"",COUNTIF($B$19:B288,"&lt;&gt;"),"")</f>
        <v>239</v>
      </c>
      <c r="B288" s="41">
        <v>228</v>
      </c>
      <c r="C288" s="42" t="s">
        <v>601</v>
      </c>
      <c r="D288" s="43">
        <v>3550</v>
      </c>
      <c r="E288" s="42" t="s">
        <v>602</v>
      </c>
      <c r="F288" s="49" t="s">
        <v>577</v>
      </c>
      <c r="G288" s="36" t="s">
        <v>603</v>
      </c>
      <c r="H288" s="44"/>
      <c r="I288" s="44"/>
      <c r="J288" s="44"/>
      <c r="K288" s="44"/>
      <c r="L288" s="44"/>
      <c r="M288" s="44"/>
      <c r="N288" s="36"/>
      <c r="O288" s="36"/>
      <c r="P288" s="45"/>
      <c r="Q288" s="45"/>
      <c r="R288" s="44"/>
      <c r="S288" s="46" t="s">
        <v>33</v>
      </c>
      <c r="T288" s="30" t="str">
        <f>IFERROR(VLOOKUP(O288, '[1]CURSOS 2025'!A:B, 2, FALSE), "")</f>
        <v/>
      </c>
      <c r="U288" s="39">
        <f t="shared" si="45"/>
        <v>0</v>
      </c>
    </row>
    <row r="289" spans="1:21" s="40" customFormat="1" ht="39.950000000000003" customHeight="1" thickBot="1" x14ac:dyDescent="0.35">
      <c r="A289" s="30">
        <f t="array" ref="A289">IF(B289&lt;&gt;"",COUNTIF($B$19:B289,"&lt;&gt;"),"")</f>
        <v>240</v>
      </c>
      <c r="B289" s="41">
        <v>228</v>
      </c>
      <c r="C289" s="42" t="s">
        <v>598</v>
      </c>
      <c r="D289" s="43">
        <v>1881</v>
      </c>
      <c r="E289" s="42" t="s">
        <v>604</v>
      </c>
      <c r="F289" s="49" t="s">
        <v>577</v>
      </c>
      <c r="G289" s="36" t="s">
        <v>605</v>
      </c>
      <c r="H289" s="44"/>
      <c r="I289" s="44"/>
      <c r="J289" s="44"/>
      <c r="K289" s="44"/>
      <c r="L289" s="44"/>
      <c r="M289" s="44"/>
      <c r="N289" s="36"/>
      <c r="O289" s="36"/>
      <c r="P289" s="45"/>
      <c r="Q289" s="45"/>
      <c r="R289" s="44"/>
      <c r="S289" s="46" t="s">
        <v>33</v>
      </c>
      <c r="T289" s="30" t="str">
        <f>IFERROR(VLOOKUP(O289, '[1]CURSOS 2025'!A:B, 2, FALSE), "")</f>
        <v/>
      </c>
      <c r="U289" s="39">
        <f t="shared" si="45"/>
        <v>0</v>
      </c>
    </row>
    <row r="290" spans="1:21" s="40" customFormat="1" ht="39.950000000000003" customHeight="1" thickBot="1" x14ac:dyDescent="0.35">
      <c r="A290" s="30">
        <f t="array" ref="A290">IF(B290&lt;&gt;"",COUNTIF($B$19:B290,"&lt;&gt;"),"")</f>
        <v>241</v>
      </c>
      <c r="B290" s="41">
        <v>228</v>
      </c>
      <c r="C290" s="42" t="s">
        <v>601</v>
      </c>
      <c r="D290" s="43">
        <v>3150</v>
      </c>
      <c r="E290" s="42" t="s">
        <v>606</v>
      </c>
      <c r="F290" s="49" t="s">
        <v>577</v>
      </c>
      <c r="G290" s="36" t="s">
        <v>607</v>
      </c>
      <c r="H290" s="44"/>
      <c r="I290" s="44"/>
      <c r="J290" s="44"/>
      <c r="K290" s="44"/>
      <c r="L290" s="44"/>
      <c r="M290" s="44"/>
      <c r="N290" s="36"/>
      <c r="O290" s="36"/>
      <c r="P290" s="45"/>
      <c r="Q290" s="45"/>
      <c r="R290" s="44"/>
      <c r="S290" s="46" t="s">
        <v>33</v>
      </c>
      <c r="T290" s="30" t="str">
        <f>IFERROR(VLOOKUP(O290, '[1]CURSOS 2025'!A:B, 2, FALSE), "")</f>
        <v/>
      </c>
      <c r="U290" s="39">
        <f t="shared" si="45"/>
        <v>0</v>
      </c>
    </row>
    <row r="291" spans="1:21" s="40" customFormat="1" ht="30.75" customHeight="1" thickBot="1" x14ac:dyDescent="0.35">
      <c r="A291" s="30">
        <f t="array" ref="A291">IF(B291&lt;&gt;"",COUNTIF($B$19:B291,"&lt;&gt;"),"")</f>
        <v>242</v>
      </c>
      <c r="B291" s="41">
        <v>228</v>
      </c>
      <c r="C291" s="42" t="s">
        <v>601</v>
      </c>
      <c r="D291" s="43">
        <v>3147</v>
      </c>
      <c r="E291" s="42" t="s">
        <v>608</v>
      </c>
      <c r="F291" s="49" t="s">
        <v>577</v>
      </c>
      <c r="G291" s="36" t="s">
        <v>609</v>
      </c>
      <c r="H291" s="44"/>
      <c r="I291" s="44"/>
      <c r="J291" s="44"/>
      <c r="K291" s="44"/>
      <c r="L291" s="44"/>
      <c r="M291" s="44"/>
      <c r="N291" s="36"/>
      <c r="O291" s="36"/>
      <c r="P291" s="45"/>
      <c r="Q291" s="45"/>
      <c r="R291" s="44"/>
      <c r="S291" s="46" t="s">
        <v>33</v>
      </c>
      <c r="T291" s="30" t="str">
        <f>IFERROR(VLOOKUP(O291, '[1]CURSOS 2025'!A:B, 2, FALSE), "")</f>
        <v/>
      </c>
      <c r="U291" s="39">
        <f t="shared" si="45"/>
        <v>0</v>
      </c>
    </row>
    <row r="292" spans="1:21" s="40" customFormat="1" ht="30.75" customHeight="1" thickBot="1" x14ac:dyDescent="0.35">
      <c r="A292" s="30">
        <f t="array" ref="A292">IF(B292&lt;&gt;"",COUNTIF($B$19:B292,"&lt;&gt;"),"")</f>
        <v>243</v>
      </c>
      <c r="B292" s="41">
        <v>228</v>
      </c>
      <c r="C292" s="42" t="s">
        <v>610</v>
      </c>
      <c r="D292" s="43">
        <v>3711</v>
      </c>
      <c r="E292" s="42" t="s">
        <v>611</v>
      </c>
      <c r="F292" s="49" t="s">
        <v>577</v>
      </c>
      <c r="G292" s="36" t="s">
        <v>612</v>
      </c>
      <c r="H292" s="44"/>
      <c r="I292" s="44"/>
      <c r="J292" s="44"/>
      <c r="K292" s="44"/>
      <c r="L292" s="44"/>
      <c r="M292" s="44"/>
      <c r="N292" s="36"/>
      <c r="O292" s="36"/>
      <c r="P292" s="45"/>
      <c r="Q292" s="45"/>
      <c r="R292" s="44"/>
      <c r="S292" s="46" t="s">
        <v>33</v>
      </c>
      <c r="T292" s="30" t="str">
        <f>IFERROR(VLOOKUP(O292, '[1]CURSOS 2025'!A:B, 2, FALSE), "")</f>
        <v/>
      </c>
      <c r="U292" s="39">
        <f t="shared" si="45"/>
        <v>0</v>
      </c>
    </row>
    <row r="293" spans="1:21" s="40" customFormat="1" ht="30.75" customHeight="1" thickBot="1" x14ac:dyDescent="0.35">
      <c r="A293" s="30">
        <f t="array" ref="A293">IF(B293&lt;&gt;"",COUNTIF($B$19:B293,"&lt;&gt;"),"")</f>
        <v>244</v>
      </c>
      <c r="B293" s="41">
        <v>228</v>
      </c>
      <c r="C293" s="42" t="s">
        <v>601</v>
      </c>
      <c r="D293" s="43">
        <v>3570</v>
      </c>
      <c r="E293" s="42" t="s">
        <v>613</v>
      </c>
      <c r="F293" s="49" t="s">
        <v>577</v>
      </c>
      <c r="G293" s="36" t="s">
        <v>614</v>
      </c>
      <c r="H293" s="44"/>
      <c r="I293" s="44"/>
      <c r="J293" s="44"/>
      <c r="K293" s="44"/>
      <c r="L293" s="44"/>
      <c r="M293" s="44"/>
      <c r="N293" s="36"/>
      <c r="O293" s="36"/>
      <c r="P293" s="45"/>
      <c r="Q293" s="45"/>
      <c r="R293" s="44"/>
      <c r="S293" s="46" t="s">
        <v>33</v>
      </c>
      <c r="T293" s="30" t="str">
        <f>IFERROR(VLOOKUP(O293, '[1]CURSOS 2025'!A:B, 2, FALSE), "")</f>
        <v/>
      </c>
      <c r="U293" s="39">
        <f t="shared" si="45"/>
        <v>0</v>
      </c>
    </row>
    <row r="294" spans="1:21" s="40" customFormat="1" ht="30.75" customHeight="1" thickBot="1" x14ac:dyDescent="0.35">
      <c r="A294" s="30">
        <f t="array" ref="A294">IF(B294&lt;&gt;"",COUNTIF($B$19:B294,"&lt;&gt;"),"")</f>
        <v>245</v>
      </c>
      <c r="B294" s="41">
        <v>228</v>
      </c>
      <c r="C294" s="42" t="s">
        <v>610</v>
      </c>
      <c r="D294" s="43">
        <v>3864</v>
      </c>
      <c r="E294" s="42" t="s">
        <v>615</v>
      </c>
      <c r="F294" s="49" t="s">
        <v>577</v>
      </c>
      <c r="G294" s="36" t="s">
        <v>616</v>
      </c>
      <c r="H294" s="44"/>
      <c r="I294" s="44"/>
      <c r="J294" s="44"/>
      <c r="K294" s="44"/>
      <c r="L294" s="44"/>
      <c r="M294" s="44"/>
      <c r="N294" s="36"/>
      <c r="O294" s="36"/>
      <c r="P294" s="45"/>
      <c r="Q294" s="45"/>
      <c r="R294" s="44"/>
      <c r="S294" s="46" t="s">
        <v>33</v>
      </c>
      <c r="T294" s="30" t="str">
        <f>IFERROR(VLOOKUP(O294, '[1]CURSOS 2025'!A:B, 2, FALSE), "")</f>
        <v/>
      </c>
      <c r="U294" s="39">
        <f t="shared" si="45"/>
        <v>0</v>
      </c>
    </row>
    <row r="295" spans="1:21" s="40" customFormat="1" ht="30.75" customHeight="1" thickBot="1" x14ac:dyDescent="0.35">
      <c r="A295" s="30">
        <f t="array" ref="A295">IF(B295&lt;&gt;"",COUNTIF($B$19:B295,"&lt;&gt;"),"")</f>
        <v>246</v>
      </c>
      <c r="B295" s="41">
        <v>228</v>
      </c>
      <c r="C295" s="42" t="s">
        <v>610</v>
      </c>
      <c r="D295" s="43">
        <v>3810</v>
      </c>
      <c r="E295" s="42" t="s">
        <v>617</v>
      </c>
      <c r="F295" s="49" t="s">
        <v>577</v>
      </c>
      <c r="G295" s="36" t="s">
        <v>618</v>
      </c>
      <c r="H295" s="44"/>
      <c r="I295" s="44"/>
      <c r="J295" s="44"/>
      <c r="K295" s="44"/>
      <c r="L295" s="44"/>
      <c r="M295" s="44"/>
      <c r="N295" s="36"/>
      <c r="O295" s="36"/>
      <c r="P295" s="45"/>
      <c r="Q295" s="45"/>
      <c r="R295" s="44"/>
      <c r="S295" s="46" t="s">
        <v>33</v>
      </c>
      <c r="T295" s="30" t="str">
        <f>IFERROR(VLOOKUP(O295, '[1]CURSOS 2025'!A:B, 2, FALSE), "")</f>
        <v/>
      </c>
      <c r="U295" s="39">
        <f t="shared" si="45"/>
        <v>0</v>
      </c>
    </row>
    <row r="296" spans="1:21" s="40" customFormat="1" ht="30.75" customHeight="1" thickBot="1" x14ac:dyDescent="0.35">
      <c r="A296" s="30">
        <f t="array" ref="A296">IF(B296&lt;&gt;"",COUNTIF($B$19:B296,"&lt;&gt;"),"")</f>
        <v>247</v>
      </c>
      <c r="B296" s="41">
        <v>228</v>
      </c>
      <c r="C296" s="42" t="s">
        <v>619</v>
      </c>
      <c r="D296" s="43">
        <v>3590</v>
      </c>
      <c r="E296" s="42" t="s">
        <v>620</v>
      </c>
      <c r="F296" s="49" t="s">
        <v>577</v>
      </c>
      <c r="G296" s="36" t="s">
        <v>621</v>
      </c>
      <c r="H296" s="44"/>
      <c r="I296" s="44"/>
      <c r="J296" s="44"/>
      <c r="K296" s="44"/>
      <c r="L296" s="44"/>
      <c r="M296" s="44"/>
      <c r="N296" s="36"/>
      <c r="O296" s="36"/>
      <c r="P296" s="45"/>
      <c r="Q296" s="45"/>
      <c r="R296" s="44"/>
      <c r="S296" s="46" t="s">
        <v>33</v>
      </c>
      <c r="T296" s="30" t="str">
        <f>IFERROR(VLOOKUP(O296, '[1]CURSOS 2025'!A:B, 2, FALSE), "")</f>
        <v/>
      </c>
      <c r="U296" s="39">
        <f t="shared" si="45"/>
        <v>0</v>
      </c>
    </row>
    <row r="297" spans="1:21" s="40" customFormat="1" ht="30.75" customHeight="1" thickBot="1" x14ac:dyDescent="0.35">
      <c r="A297" s="30">
        <f t="array" ref="A297">IF(B297&lt;&gt;"",COUNTIF($B$19:B297,"&lt;&gt;"),"")</f>
        <v>248</v>
      </c>
      <c r="B297" s="41">
        <v>228</v>
      </c>
      <c r="C297" s="42" t="s">
        <v>622</v>
      </c>
      <c r="D297" s="43" t="s">
        <v>623</v>
      </c>
      <c r="E297" s="42" t="s">
        <v>624</v>
      </c>
      <c r="F297" s="49" t="s">
        <v>577</v>
      </c>
      <c r="G297" s="36" t="s">
        <v>625</v>
      </c>
      <c r="H297" s="44"/>
      <c r="I297" s="44"/>
      <c r="J297" s="44"/>
      <c r="K297" s="44"/>
      <c r="L297" s="44"/>
      <c r="M297" s="44"/>
      <c r="N297" s="36"/>
      <c r="O297" s="36"/>
      <c r="P297" s="45"/>
      <c r="Q297" s="45"/>
      <c r="R297" s="44"/>
      <c r="S297" s="46" t="s">
        <v>33</v>
      </c>
      <c r="T297" s="30" t="str">
        <f>IFERROR(VLOOKUP(O297, '[1]CURSOS 2025'!A:B, 2, FALSE), "")</f>
        <v/>
      </c>
      <c r="U297" s="39">
        <f t="shared" si="45"/>
        <v>0</v>
      </c>
    </row>
    <row r="298" spans="1:21" s="40" customFormat="1" ht="39.950000000000003" customHeight="1" thickBot="1" x14ac:dyDescent="0.35">
      <c r="A298" s="30">
        <f t="array" ref="A298">IF(B298&lt;&gt;"",COUNTIF($B$19:B298,"&lt;&gt;"),"")</f>
        <v>249</v>
      </c>
      <c r="B298" s="41">
        <v>228</v>
      </c>
      <c r="C298" s="42" t="s">
        <v>622</v>
      </c>
      <c r="D298" s="43">
        <v>3611</v>
      </c>
      <c r="E298" s="42" t="s">
        <v>626</v>
      </c>
      <c r="F298" s="49" t="s">
        <v>577</v>
      </c>
      <c r="G298" s="36" t="s">
        <v>627</v>
      </c>
      <c r="H298" s="44"/>
      <c r="I298" s="44"/>
      <c r="J298" s="44"/>
      <c r="K298" s="44"/>
      <c r="L298" s="44"/>
      <c r="M298" s="44"/>
      <c r="N298" s="36"/>
      <c r="O298" s="36"/>
      <c r="P298" s="45"/>
      <c r="Q298" s="45"/>
      <c r="R298" s="44"/>
      <c r="S298" s="46" t="s">
        <v>33</v>
      </c>
      <c r="T298" s="30" t="str">
        <f>IFERROR(VLOOKUP(O298, '[1]CURSOS 2025'!A:B, 2, FALSE), "")</f>
        <v/>
      </c>
      <c r="U298" s="39">
        <f t="shared" si="45"/>
        <v>0</v>
      </c>
    </row>
    <row r="299" spans="1:21" s="40" customFormat="1" ht="30.75" customHeight="1" thickBot="1" x14ac:dyDescent="0.35">
      <c r="A299" s="30">
        <f t="array" ref="A299">IF(B299&lt;&gt;"",COUNTIF($B$19:B299,"&lt;&gt;"),"")</f>
        <v>250</v>
      </c>
      <c r="B299" s="41">
        <v>228</v>
      </c>
      <c r="C299" s="42" t="s">
        <v>619</v>
      </c>
      <c r="D299" s="43">
        <v>3605</v>
      </c>
      <c r="E299" s="42" t="s">
        <v>628</v>
      </c>
      <c r="F299" s="49" t="s">
        <v>577</v>
      </c>
      <c r="G299" s="36" t="s">
        <v>629</v>
      </c>
      <c r="H299" s="44"/>
      <c r="I299" s="44"/>
      <c r="J299" s="44"/>
      <c r="K299" s="44"/>
      <c r="L299" s="44"/>
      <c r="M299" s="44"/>
      <c r="N299" s="36"/>
      <c r="O299" s="36"/>
      <c r="P299" s="45"/>
      <c r="Q299" s="45"/>
      <c r="R299" s="44"/>
      <c r="S299" s="46" t="s">
        <v>33</v>
      </c>
      <c r="T299" s="30" t="str">
        <f>IFERROR(VLOOKUP(O299, '[1]CURSOS 2025'!A:B, 2, FALSE), "")</f>
        <v/>
      </c>
      <c r="U299" s="39">
        <f t="shared" si="45"/>
        <v>0</v>
      </c>
    </row>
    <row r="300" spans="1:21" s="40" customFormat="1" ht="39.950000000000003" customHeight="1" thickBot="1" x14ac:dyDescent="0.35">
      <c r="A300" s="30">
        <f t="array" ref="A300">IF(B300&lt;&gt;"",COUNTIF($B$19:B300,"&lt;&gt;"),"")</f>
        <v>251</v>
      </c>
      <c r="B300" s="41">
        <v>228</v>
      </c>
      <c r="C300" s="42" t="s">
        <v>45</v>
      </c>
      <c r="D300" s="43">
        <v>5516</v>
      </c>
      <c r="E300" s="42" t="s">
        <v>630</v>
      </c>
      <c r="F300" s="49" t="s">
        <v>577</v>
      </c>
      <c r="G300" s="36" t="s">
        <v>631</v>
      </c>
      <c r="H300" s="44"/>
      <c r="I300" s="44"/>
      <c r="J300" s="44"/>
      <c r="K300" s="44"/>
      <c r="L300" s="44"/>
      <c r="M300" s="44"/>
      <c r="N300" s="36"/>
      <c r="O300" s="36"/>
      <c r="P300" s="45"/>
      <c r="Q300" s="45"/>
      <c r="R300" s="44"/>
      <c r="S300" s="46" t="s">
        <v>37</v>
      </c>
      <c r="T300" s="30" t="str">
        <f>IFERROR(VLOOKUP(O300, '[1]CURSOS 2025'!A:B, 2, FALSE), "")</f>
        <v/>
      </c>
      <c r="U300" s="39">
        <f>SUM(R300:R300)</f>
        <v>0</v>
      </c>
    </row>
    <row r="301" spans="1:21" s="40" customFormat="1" ht="39.950000000000003" customHeight="1" thickBot="1" x14ac:dyDescent="0.35">
      <c r="A301" s="30">
        <f t="array" ref="A301">IF(B301&lt;&gt;"",COUNTIF($B$19:B301,"&lt;&gt;"),"")</f>
        <v>252</v>
      </c>
      <c r="B301" s="41">
        <v>228</v>
      </c>
      <c r="C301" s="42" t="s">
        <v>632</v>
      </c>
      <c r="D301" s="43">
        <v>3677</v>
      </c>
      <c r="E301" s="42" t="s">
        <v>633</v>
      </c>
      <c r="F301" s="49" t="s">
        <v>577</v>
      </c>
      <c r="G301" s="36" t="s">
        <v>634</v>
      </c>
      <c r="H301" s="44"/>
      <c r="I301" s="44"/>
      <c r="J301" s="44"/>
      <c r="K301" s="44"/>
      <c r="L301" s="44"/>
      <c r="M301" s="44"/>
      <c r="N301" s="36"/>
      <c r="O301" s="36"/>
      <c r="P301" s="45"/>
      <c r="Q301" s="45"/>
      <c r="R301" s="44"/>
      <c r="S301" s="46" t="s">
        <v>33</v>
      </c>
      <c r="T301" s="30" t="str">
        <f>IFERROR(VLOOKUP(O301, '[1]CURSOS 2025'!A:B, 2, FALSE), "")</f>
        <v/>
      </c>
      <c r="U301" s="39">
        <f>SUM(R301:R301)</f>
        <v>0</v>
      </c>
    </row>
    <row r="302" spans="1:21" s="40" customFormat="1" ht="39.950000000000003" customHeight="1" thickBot="1" x14ac:dyDescent="0.35">
      <c r="A302" s="30">
        <f t="array" ref="A302">IF(B302&lt;&gt;"",COUNTIF($B$19:B302,"&lt;&gt;"),"")</f>
        <v>253</v>
      </c>
      <c r="B302" s="41">
        <v>228</v>
      </c>
      <c r="C302" s="42" t="s">
        <v>632</v>
      </c>
      <c r="D302" s="43">
        <v>1778</v>
      </c>
      <c r="E302" s="42" t="s">
        <v>635</v>
      </c>
      <c r="F302" s="49" t="s">
        <v>577</v>
      </c>
      <c r="G302" s="36" t="s">
        <v>636</v>
      </c>
      <c r="H302" s="44"/>
      <c r="I302" s="44"/>
      <c r="J302" s="44"/>
      <c r="K302" s="44"/>
      <c r="L302" s="44"/>
      <c r="M302" s="44"/>
      <c r="N302" s="36"/>
      <c r="O302" s="36"/>
      <c r="P302" s="45"/>
      <c r="Q302" s="45"/>
      <c r="R302" s="44"/>
      <c r="S302" s="46" t="s">
        <v>33</v>
      </c>
      <c r="T302" s="30" t="str">
        <f>IFERROR(VLOOKUP(O302, '[1]CURSOS 2025'!A:B, 2, FALSE), "")</f>
        <v/>
      </c>
      <c r="U302" s="39">
        <f>SUM(R302:R302)</f>
        <v>0</v>
      </c>
    </row>
    <row r="303" spans="1:21" s="40" customFormat="1" ht="39.950000000000003" customHeight="1" thickBot="1" x14ac:dyDescent="0.35">
      <c r="A303" s="30">
        <f t="array" ref="A303">IF(B303&lt;&gt;"",COUNTIF($B$19:B303,"&lt;&gt;"),"")</f>
        <v>254</v>
      </c>
      <c r="B303" s="41">
        <v>228</v>
      </c>
      <c r="C303" s="42" t="s">
        <v>632</v>
      </c>
      <c r="D303" s="43">
        <v>1822</v>
      </c>
      <c r="E303" s="42" t="s">
        <v>637</v>
      </c>
      <c r="F303" s="49" t="s">
        <v>577</v>
      </c>
      <c r="G303" s="36" t="s">
        <v>638</v>
      </c>
      <c r="H303" s="44"/>
      <c r="I303" s="44"/>
      <c r="J303" s="44"/>
      <c r="K303" s="44"/>
      <c r="L303" s="44"/>
      <c r="M303" s="44"/>
      <c r="N303" s="36"/>
      <c r="O303" s="36"/>
      <c r="P303" s="45"/>
      <c r="Q303" s="45"/>
      <c r="R303" s="44"/>
      <c r="S303" s="46" t="s">
        <v>33</v>
      </c>
      <c r="T303" s="30" t="str">
        <f>IFERROR(VLOOKUP(O303, '[1]CURSOS 2025'!A:B, 2, FALSE), "")</f>
        <v/>
      </c>
      <c r="U303" s="39">
        <f>SUM(R303:R303)</f>
        <v>0</v>
      </c>
    </row>
    <row r="304" spans="1:21" s="40" customFormat="1" ht="39.950000000000003" customHeight="1" thickBot="1" x14ac:dyDescent="0.35">
      <c r="A304" s="30">
        <f t="array" ref="A304">IF(B304&lt;&gt;"",COUNTIF($B$19:B304,"&lt;&gt;"),"")</f>
        <v>255</v>
      </c>
      <c r="B304" s="41">
        <v>228</v>
      </c>
      <c r="C304" s="42" t="s">
        <v>632</v>
      </c>
      <c r="D304" s="43">
        <v>1799</v>
      </c>
      <c r="E304" s="42" t="s">
        <v>639</v>
      </c>
      <c r="F304" s="49" t="s">
        <v>577</v>
      </c>
      <c r="G304" s="36" t="s">
        <v>640</v>
      </c>
      <c r="H304" s="44"/>
      <c r="I304" s="44"/>
      <c r="J304" s="44"/>
      <c r="K304" s="44"/>
      <c r="L304" s="44"/>
      <c r="M304" s="44"/>
      <c r="N304" s="36"/>
      <c r="O304" s="36"/>
      <c r="P304" s="45"/>
      <c r="Q304" s="45"/>
      <c r="R304" s="44"/>
      <c r="S304" s="46" t="s">
        <v>33</v>
      </c>
      <c r="T304" s="30" t="str">
        <f>IFERROR(VLOOKUP(O304, '[1]CURSOS 2025'!A:B, 2, FALSE), "")</f>
        <v/>
      </c>
      <c r="U304" s="39">
        <f>SUM(R304:R304)</f>
        <v>0</v>
      </c>
    </row>
    <row r="305" spans="1:21" s="40" customFormat="1" ht="39.950000000000003" customHeight="1" thickBot="1" x14ac:dyDescent="0.35">
      <c r="A305" s="30">
        <f t="array" ref="A305">IF(B305&lt;&gt;"",COUNTIF($B$19:B305,"&lt;&gt;"),"")</f>
        <v>256</v>
      </c>
      <c r="B305" s="41">
        <v>228</v>
      </c>
      <c r="C305" s="42" t="s">
        <v>632</v>
      </c>
      <c r="D305" s="43">
        <v>3284</v>
      </c>
      <c r="E305" s="42" t="s">
        <v>641</v>
      </c>
      <c r="F305" s="49" t="s">
        <v>577</v>
      </c>
      <c r="G305" s="36" t="s">
        <v>642</v>
      </c>
      <c r="H305" s="44"/>
      <c r="I305" s="44"/>
      <c r="J305" s="44"/>
      <c r="K305" s="44"/>
      <c r="L305" s="44"/>
      <c r="M305" s="44"/>
      <c r="N305" s="36"/>
      <c r="O305" s="36"/>
      <c r="P305" s="45"/>
      <c r="Q305" s="45"/>
      <c r="R305" s="44"/>
      <c r="S305" s="44" t="s">
        <v>33</v>
      </c>
      <c r="T305" s="30" t="str">
        <f>IFERROR(VLOOKUP(O305, '[1]CURSOS 2025'!A:B, 2, FALSE), "")</f>
        <v/>
      </c>
      <c r="U305" s="48">
        <f t="shared" ref="U305" si="46">SUM(R305)</f>
        <v>0</v>
      </c>
    </row>
    <row r="306" spans="1:21" s="40" customFormat="1" ht="30.75" customHeight="1" thickBot="1" x14ac:dyDescent="0.35">
      <c r="A306" s="30">
        <f t="array" ref="A306">IF(B306&lt;&gt;"",COUNTIF($B$19:B306,"&lt;&gt;"),"")</f>
        <v>257</v>
      </c>
      <c r="B306" s="41">
        <v>228</v>
      </c>
      <c r="C306" s="42" t="s">
        <v>632</v>
      </c>
      <c r="D306" s="43">
        <v>1452</v>
      </c>
      <c r="E306" s="42" t="s">
        <v>643</v>
      </c>
      <c r="F306" s="49" t="s">
        <v>577</v>
      </c>
      <c r="G306" s="36" t="s">
        <v>644</v>
      </c>
      <c r="H306" s="44"/>
      <c r="I306" s="44"/>
      <c r="J306" s="44"/>
      <c r="K306" s="44"/>
      <c r="L306" s="44"/>
      <c r="M306" s="44"/>
      <c r="N306" s="36"/>
      <c r="O306" s="36"/>
      <c r="P306" s="45"/>
      <c r="Q306" s="45"/>
      <c r="R306" s="44"/>
      <c r="S306" s="46" t="s">
        <v>33</v>
      </c>
      <c r="T306" s="30" t="str">
        <f>IFERROR(VLOOKUP(O306, '[1]CURSOS 2025'!A:B, 2, FALSE), "")</f>
        <v/>
      </c>
      <c r="U306" s="39">
        <f>SUM(R306:R306)</f>
        <v>0</v>
      </c>
    </row>
    <row r="307" spans="1:21" s="40" customFormat="1" ht="39.950000000000003" customHeight="1" thickBot="1" x14ac:dyDescent="0.35">
      <c r="A307" s="30">
        <f t="array" ref="A307">IF(B307&lt;&gt;"",COUNTIF($B$19:B307,"&lt;&gt;"),"")</f>
        <v>258</v>
      </c>
      <c r="B307" s="41">
        <v>228</v>
      </c>
      <c r="C307" s="42" t="s">
        <v>598</v>
      </c>
      <c r="D307" s="43">
        <v>3004</v>
      </c>
      <c r="E307" s="42" t="s">
        <v>645</v>
      </c>
      <c r="F307" s="49" t="s">
        <v>577</v>
      </c>
      <c r="G307" s="36" t="s">
        <v>646</v>
      </c>
      <c r="H307" s="44"/>
      <c r="I307" s="44"/>
      <c r="J307" s="44"/>
      <c r="K307" s="44"/>
      <c r="L307" s="44"/>
      <c r="M307" s="44"/>
      <c r="N307" s="36"/>
      <c r="O307" s="36"/>
      <c r="P307" s="45"/>
      <c r="Q307" s="45"/>
      <c r="R307" s="44"/>
      <c r="S307" s="46" t="s">
        <v>33</v>
      </c>
      <c r="T307" s="30" t="str">
        <f>IFERROR(VLOOKUP(O307, '[1]CURSOS 2025'!A:B, 2, FALSE), "")</f>
        <v/>
      </c>
      <c r="U307" s="39">
        <f>SUM(R307:R307)</f>
        <v>0</v>
      </c>
    </row>
    <row r="308" spans="1:21" s="40" customFormat="1" ht="30.75" customHeight="1" thickBot="1" x14ac:dyDescent="0.35">
      <c r="A308" s="30">
        <f t="array" ref="A308">IF(B308&lt;&gt;"",COUNTIF($B$19:B308,"&lt;&gt;"),"")</f>
        <v>259</v>
      </c>
      <c r="B308" s="41">
        <v>228</v>
      </c>
      <c r="C308" s="42" t="s">
        <v>598</v>
      </c>
      <c r="D308" s="43">
        <v>3396</v>
      </c>
      <c r="E308" s="42" t="s">
        <v>647</v>
      </c>
      <c r="F308" s="49" t="s">
        <v>577</v>
      </c>
      <c r="G308" s="36" t="s">
        <v>648</v>
      </c>
      <c r="H308" s="44"/>
      <c r="I308" s="44"/>
      <c r="J308" s="44"/>
      <c r="K308" s="44"/>
      <c r="L308" s="44"/>
      <c r="M308" s="44"/>
      <c r="N308" s="36"/>
      <c r="O308" s="36"/>
      <c r="P308" s="45"/>
      <c r="Q308" s="45"/>
      <c r="R308" s="44"/>
      <c r="S308" s="46" t="s">
        <v>33</v>
      </c>
      <c r="T308" s="30" t="str">
        <f>IFERROR(VLOOKUP(O308, '[1]CURSOS 2025'!A:B, 2, FALSE), "")</f>
        <v/>
      </c>
      <c r="U308" s="39">
        <f>SUM(R308:R308)</f>
        <v>0</v>
      </c>
    </row>
    <row r="309" spans="1:21" s="40" customFormat="1" ht="30.75" customHeight="1" thickBot="1" x14ac:dyDescent="0.35">
      <c r="A309" s="30">
        <f t="array" ref="A309">IF(B309&lt;&gt;"",COUNTIF($B$19:B309,"&lt;&gt;"),"")</f>
        <v>260</v>
      </c>
      <c r="B309" s="41">
        <v>228</v>
      </c>
      <c r="C309" s="42" t="s">
        <v>619</v>
      </c>
      <c r="D309" s="43">
        <v>3719</v>
      </c>
      <c r="E309" s="42" t="s">
        <v>649</v>
      </c>
      <c r="F309" s="49" t="s">
        <v>577</v>
      </c>
      <c r="G309" s="36" t="s">
        <v>650</v>
      </c>
      <c r="H309" s="44"/>
      <c r="I309" s="44"/>
      <c r="J309" s="44"/>
      <c r="K309" s="44"/>
      <c r="L309" s="44"/>
      <c r="M309" s="44"/>
      <c r="N309" s="36"/>
      <c r="O309" s="36"/>
      <c r="P309" s="45"/>
      <c r="Q309" s="45"/>
      <c r="R309" s="44"/>
      <c r="S309" s="46" t="s">
        <v>33</v>
      </c>
      <c r="T309" s="30" t="str">
        <f>IFERROR(VLOOKUP(O309, '[1]CURSOS 2025'!A:B, 2, FALSE), "")</f>
        <v/>
      </c>
      <c r="U309" s="39">
        <f t="shared" ref="U309:U336" si="47">SUM(R309:R309)</f>
        <v>0</v>
      </c>
    </row>
    <row r="310" spans="1:21" s="40" customFormat="1" ht="39.950000000000003" customHeight="1" thickBot="1" x14ac:dyDescent="0.35">
      <c r="A310" s="30">
        <f t="array" ref="A310">IF(B310&lt;&gt;"",COUNTIF($B$19:B310,"&lt;&gt;"),"")</f>
        <v>261</v>
      </c>
      <c r="B310" s="41">
        <v>228</v>
      </c>
      <c r="C310" s="42" t="s">
        <v>619</v>
      </c>
      <c r="D310" s="43">
        <v>3722</v>
      </c>
      <c r="E310" s="42" t="s">
        <v>651</v>
      </c>
      <c r="F310" s="49" t="s">
        <v>577</v>
      </c>
      <c r="G310" s="36" t="s">
        <v>652</v>
      </c>
      <c r="H310" s="44"/>
      <c r="I310" s="44"/>
      <c r="J310" s="44"/>
      <c r="K310" s="44"/>
      <c r="L310" s="44"/>
      <c r="M310" s="44"/>
      <c r="N310" s="36"/>
      <c r="O310" s="36"/>
      <c r="P310" s="45"/>
      <c r="Q310" s="45"/>
      <c r="R310" s="44"/>
      <c r="S310" s="46" t="s">
        <v>33</v>
      </c>
      <c r="T310" s="30" t="str">
        <f>IFERROR(VLOOKUP(O310, '[1]CURSOS 2025'!A:B, 2, FALSE), "")</f>
        <v/>
      </c>
      <c r="U310" s="39">
        <f t="shared" si="47"/>
        <v>0</v>
      </c>
    </row>
    <row r="311" spans="1:21" s="40" customFormat="1" ht="39.950000000000003" customHeight="1" thickBot="1" x14ac:dyDescent="0.35">
      <c r="A311" s="30">
        <f t="array" ref="A311">IF(B311&lt;&gt;"",COUNTIF($B$19:B311,"&lt;&gt;"),"")</f>
        <v>262</v>
      </c>
      <c r="B311" s="41">
        <v>228</v>
      </c>
      <c r="C311" s="42" t="s">
        <v>610</v>
      </c>
      <c r="D311" s="43">
        <v>3769</v>
      </c>
      <c r="E311" s="42" t="s">
        <v>653</v>
      </c>
      <c r="F311" s="49" t="s">
        <v>577</v>
      </c>
      <c r="G311" s="36" t="s">
        <v>654</v>
      </c>
      <c r="H311" s="44"/>
      <c r="I311" s="44"/>
      <c r="J311" s="44"/>
      <c r="K311" s="44"/>
      <c r="L311" s="44"/>
      <c r="M311" s="44"/>
      <c r="N311" s="36"/>
      <c r="O311" s="36"/>
      <c r="P311" s="45"/>
      <c r="Q311" s="45"/>
      <c r="R311" s="44"/>
      <c r="S311" s="46" t="s">
        <v>33</v>
      </c>
      <c r="T311" s="30" t="str">
        <f>IFERROR(VLOOKUP(O311, '[1]CURSOS 2025'!A:B, 2, FALSE), "")</f>
        <v/>
      </c>
      <c r="U311" s="39">
        <f t="shared" si="47"/>
        <v>0</v>
      </c>
    </row>
    <row r="312" spans="1:21" s="40" customFormat="1" ht="30.75" customHeight="1" thickBot="1" x14ac:dyDescent="0.35">
      <c r="A312" s="30">
        <f t="array" ref="A312">IF(B312&lt;&gt;"",COUNTIF($B$19:B312,"&lt;&gt;"),"")</f>
        <v>263</v>
      </c>
      <c r="B312" s="41">
        <v>228</v>
      </c>
      <c r="C312" s="42" t="s">
        <v>619</v>
      </c>
      <c r="D312" s="43">
        <v>3731</v>
      </c>
      <c r="E312" s="42" t="s">
        <v>655</v>
      </c>
      <c r="F312" s="49" t="s">
        <v>577</v>
      </c>
      <c r="G312" s="36" t="s">
        <v>656</v>
      </c>
      <c r="H312" s="44"/>
      <c r="I312" s="44"/>
      <c r="J312" s="44"/>
      <c r="K312" s="44"/>
      <c r="L312" s="44"/>
      <c r="M312" s="44"/>
      <c r="N312" s="36"/>
      <c r="O312" s="36"/>
      <c r="P312" s="45"/>
      <c r="Q312" s="45"/>
      <c r="R312" s="44"/>
      <c r="S312" s="46" t="s">
        <v>33</v>
      </c>
      <c r="T312" s="30" t="str">
        <f>IFERROR(VLOOKUP(O312, '[1]CURSOS 2025'!A:B, 2, FALSE), "")</f>
        <v/>
      </c>
      <c r="U312" s="39">
        <f t="shared" si="47"/>
        <v>0</v>
      </c>
    </row>
    <row r="313" spans="1:21" s="40" customFormat="1" ht="30.75" customHeight="1" thickBot="1" x14ac:dyDescent="0.35">
      <c r="A313" s="30">
        <f t="array" ref="A313">IF(B313&lt;&gt;"",COUNTIF($B$19:B313,"&lt;&gt;"),"")</f>
        <v>264</v>
      </c>
      <c r="B313" s="41">
        <v>228</v>
      </c>
      <c r="C313" s="42" t="s">
        <v>619</v>
      </c>
      <c r="D313" s="43">
        <v>3745</v>
      </c>
      <c r="E313" s="42" t="s">
        <v>657</v>
      </c>
      <c r="F313" s="49" t="s">
        <v>577</v>
      </c>
      <c r="G313" s="36" t="s">
        <v>658</v>
      </c>
      <c r="H313" s="44"/>
      <c r="I313" s="44"/>
      <c r="J313" s="44"/>
      <c r="K313" s="44"/>
      <c r="L313" s="44"/>
      <c r="M313" s="44"/>
      <c r="N313" s="36"/>
      <c r="O313" s="36"/>
      <c r="P313" s="45"/>
      <c r="Q313" s="45"/>
      <c r="R313" s="44"/>
      <c r="S313" s="46" t="s">
        <v>33</v>
      </c>
      <c r="T313" s="30" t="str">
        <f>IFERROR(VLOOKUP(O313, '[1]CURSOS 2025'!A:B, 2, FALSE), "")</f>
        <v/>
      </c>
      <c r="U313" s="39">
        <f t="shared" si="47"/>
        <v>0</v>
      </c>
    </row>
    <row r="314" spans="1:21" s="40" customFormat="1" ht="30.75" customHeight="1" thickBot="1" x14ac:dyDescent="0.35">
      <c r="A314" s="30">
        <f t="array" ref="A314">IF(B314&lt;&gt;"",COUNTIF($B$19:B314,"&lt;&gt;"),"")</f>
        <v>265</v>
      </c>
      <c r="B314" s="41">
        <v>228</v>
      </c>
      <c r="C314" s="42" t="s">
        <v>619</v>
      </c>
      <c r="D314" s="43">
        <v>3689</v>
      </c>
      <c r="E314" s="42" t="s">
        <v>659</v>
      </c>
      <c r="F314" s="49" t="s">
        <v>577</v>
      </c>
      <c r="G314" s="36" t="s">
        <v>660</v>
      </c>
      <c r="H314" s="44"/>
      <c r="I314" s="44"/>
      <c r="J314" s="44"/>
      <c r="K314" s="44"/>
      <c r="L314" s="44"/>
      <c r="M314" s="44"/>
      <c r="N314" s="36"/>
      <c r="O314" s="36"/>
      <c r="P314" s="45"/>
      <c r="Q314" s="45"/>
      <c r="R314" s="44"/>
      <c r="S314" s="46" t="s">
        <v>33</v>
      </c>
      <c r="T314" s="30" t="str">
        <f>IFERROR(VLOOKUP(O314, '[1]CURSOS 2025'!A:B, 2, FALSE), "")</f>
        <v/>
      </c>
      <c r="U314" s="39">
        <f t="shared" si="47"/>
        <v>0</v>
      </c>
    </row>
    <row r="315" spans="1:21" s="40" customFormat="1" ht="30.75" customHeight="1" thickBot="1" x14ac:dyDescent="0.35">
      <c r="A315" s="30">
        <f t="array" ref="A315">IF(B315&lt;&gt;"",COUNTIF($B$19:B315,"&lt;&gt;"),"")</f>
        <v>266</v>
      </c>
      <c r="B315" s="41">
        <v>228</v>
      </c>
      <c r="C315" s="42" t="s">
        <v>661</v>
      </c>
      <c r="D315" s="43">
        <v>3600</v>
      </c>
      <c r="E315" s="42" t="s">
        <v>662</v>
      </c>
      <c r="F315" s="49" t="s">
        <v>577</v>
      </c>
      <c r="G315" s="36" t="s">
        <v>663</v>
      </c>
      <c r="H315" s="44"/>
      <c r="I315" s="44"/>
      <c r="J315" s="44"/>
      <c r="K315" s="44"/>
      <c r="L315" s="44"/>
      <c r="M315" s="44"/>
      <c r="N315" s="36"/>
      <c r="O315" s="36"/>
      <c r="P315" s="45"/>
      <c r="Q315" s="45"/>
      <c r="R315" s="44"/>
      <c r="S315" s="46" t="s">
        <v>33</v>
      </c>
      <c r="T315" s="30" t="str">
        <f>IFERROR(VLOOKUP(O315, '[1]CURSOS 2025'!A:B, 2, FALSE), "")</f>
        <v/>
      </c>
      <c r="U315" s="39">
        <f t="shared" si="47"/>
        <v>0</v>
      </c>
    </row>
    <row r="316" spans="1:21" s="40" customFormat="1" ht="30.75" customHeight="1" thickBot="1" x14ac:dyDescent="0.35">
      <c r="A316" s="30">
        <f t="array" ref="A316">IF(B316&lt;&gt;"",COUNTIF($B$19:B316,"&lt;&gt;"),"")</f>
        <v>267</v>
      </c>
      <c r="B316" s="41">
        <v>228</v>
      </c>
      <c r="C316" s="42" t="s">
        <v>619</v>
      </c>
      <c r="D316" s="43">
        <v>3781</v>
      </c>
      <c r="E316" s="42" t="s">
        <v>664</v>
      </c>
      <c r="F316" s="49" t="s">
        <v>577</v>
      </c>
      <c r="G316" s="36" t="s">
        <v>665</v>
      </c>
      <c r="H316" s="44"/>
      <c r="I316" s="44"/>
      <c r="J316" s="44"/>
      <c r="K316" s="44"/>
      <c r="L316" s="44"/>
      <c r="M316" s="44"/>
      <c r="N316" s="36"/>
      <c r="O316" s="36"/>
      <c r="P316" s="45"/>
      <c r="Q316" s="45"/>
      <c r="R316" s="44"/>
      <c r="S316" s="46" t="s">
        <v>33</v>
      </c>
      <c r="T316" s="30" t="str">
        <f>IFERROR(VLOOKUP(O316, '[1]CURSOS 2025'!A:B, 2, FALSE), "")</f>
        <v/>
      </c>
      <c r="U316" s="39">
        <f t="shared" si="47"/>
        <v>0</v>
      </c>
    </row>
    <row r="317" spans="1:21" s="40" customFormat="1" ht="30.75" customHeight="1" thickBot="1" x14ac:dyDescent="0.35">
      <c r="A317" s="30">
        <f t="array" ref="A317">IF(B317&lt;&gt;"",COUNTIF($B$19:B317,"&lt;&gt;"),"")</f>
        <v>268</v>
      </c>
      <c r="B317" s="41">
        <v>228</v>
      </c>
      <c r="C317" s="42" t="s">
        <v>610</v>
      </c>
      <c r="D317" s="43">
        <v>3807</v>
      </c>
      <c r="E317" s="42" t="s">
        <v>666</v>
      </c>
      <c r="F317" s="49" t="s">
        <v>577</v>
      </c>
      <c r="G317" s="36" t="s">
        <v>667</v>
      </c>
      <c r="H317" s="44"/>
      <c r="I317" s="44"/>
      <c r="J317" s="44"/>
      <c r="K317" s="44"/>
      <c r="L317" s="44"/>
      <c r="M317" s="44"/>
      <c r="N317" s="36"/>
      <c r="O317" s="36"/>
      <c r="P317" s="45"/>
      <c r="Q317" s="45"/>
      <c r="R317" s="44"/>
      <c r="S317" s="46" t="s">
        <v>33</v>
      </c>
      <c r="T317" s="30" t="str">
        <f>IFERROR(VLOOKUP(O317, '[1]CURSOS 2025'!A:B, 2, FALSE), "")</f>
        <v/>
      </c>
      <c r="U317" s="39">
        <f t="shared" si="47"/>
        <v>0</v>
      </c>
    </row>
    <row r="318" spans="1:21" s="40" customFormat="1" ht="39.950000000000003" customHeight="1" thickBot="1" x14ac:dyDescent="0.35">
      <c r="A318" s="30">
        <f t="array" ref="A318">IF(B318&lt;&gt;"",COUNTIF($B$19:B318,"&lt;&gt;"),"")</f>
        <v>269</v>
      </c>
      <c r="B318" s="41">
        <v>228</v>
      </c>
      <c r="C318" s="42" t="s">
        <v>622</v>
      </c>
      <c r="D318" s="43">
        <v>3156</v>
      </c>
      <c r="E318" s="42" t="s">
        <v>668</v>
      </c>
      <c r="F318" s="49" t="s">
        <v>577</v>
      </c>
      <c r="G318" s="36" t="s">
        <v>669</v>
      </c>
      <c r="H318" s="44"/>
      <c r="I318" s="44"/>
      <c r="J318" s="44"/>
      <c r="K318" s="44"/>
      <c r="L318" s="44"/>
      <c r="M318" s="44"/>
      <c r="N318" s="36"/>
      <c r="O318" s="36"/>
      <c r="P318" s="45"/>
      <c r="Q318" s="45"/>
      <c r="R318" s="44"/>
      <c r="S318" s="46" t="s">
        <v>33</v>
      </c>
      <c r="T318" s="30" t="str">
        <f>IFERROR(VLOOKUP(O318, '[1]CURSOS 2025'!A:B, 2, FALSE), "")</f>
        <v/>
      </c>
      <c r="U318" s="39">
        <f t="shared" si="47"/>
        <v>0</v>
      </c>
    </row>
    <row r="319" spans="1:21" s="40" customFormat="1" ht="30.75" customHeight="1" thickBot="1" x14ac:dyDescent="0.35">
      <c r="A319" s="30">
        <f t="array" ref="A319">IF(B319&lt;&gt;"",COUNTIF($B$19:B319,"&lt;&gt;"),"")</f>
        <v>270</v>
      </c>
      <c r="B319" s="41">
        <v>228</v>
      </c>
      <c r="C319" s="42" t="s">
        <v>622</v>
      </c>
      <c r="D319" s="43">
        <v>3592</v>
      </c>
      <c r="E319" s="42" t="s">
        <v>670</v>
      </c>
      <c r="F319" s="49" t="s">
        <v>577</v>
      </c>
      <c r="G319" s="36" t="s">
        <v>671</v>
      </c>
      <c r="H319" s="44"/>
      <c r="I319" s="44"/>
      <c r="J319" s="44"/>
      <c r="K319" s="44"/>
      <c r="L319" s="44"/>
      <c r="M319" s="44"/>
      <c r="N319" s="36"/>
      <c r="O319" s="36"/>
      <c r="P319" s="45"/>
      <c r="Q319" s="45"/>
      <c r="R319" s="44"/>
      <c r="S319" s="46" t="s">
        <v>33</v>
      </c>
      <c r="T319" s="30" t="str">
        <f>IFERROR(VLOOKUP(O319, '[1]CURSOS 2025'!A:B, 2, FALSE), "")</f>
        <v/>
      </c>
      <c r="U319" s="39">
        <f t="shared" si="47"/>
        <v>0</v>
      </c>
    </row>
    <row r="320" spans="1:21" s="40" customFormat="1" ht="39.950000000000003" customHeight="1" thickBot="1" x14ac:dyDescent="0.35">
      <c r="A320" s="30">
        <f t="array" ref="A320">IF(B320&lt;&gt;"",COUNTIF($B$19:B320,"&lt;&gt;"),"")</f>
        <v>271</v>
      </c>
      <c r="B320" s="41">
        <v>228</v>
      </c>
      <c r="C320" s="42" t="s">
        <v>601</v>
      </c>
      <c r="D320" s="43">
        <v>3591</v>
      </c>
      <c r="E320" s="42" t="s">
        <v>672</v>
      </c>
      <c r="F320" s="49" t="s">
        <v>577</v>
      </c>
      <c r="G320" s="36" t="s">
        <v>673</v>
      </c>
      <c r="H320" s="44"/>
      <c r="I320" s="44"/>
      <c r="J320" s="44"/>
      <c r="K320" s="44"/>
      <c r="L320" s="44"/>
      <c r="M320" s="44"/>
      <c r="N320" s="36"/>
      <c r="O320" s="36"/>
      <c r="P320" s="45"/>
      <c r="Q320" s="45"/>
      <c r="R320" s="44"/>
      <c r="S320" s="46" t="s">
        <v>33</v>
      </c>
      <c r="T320" s="30" t="str">
        <f>IFERROR(VLOOKUP(O320, '[1]CURSOS 2025'!A:B, 2, FALSE), "")</f>
        <v/>
      </c>
      <c r="U320" s="39">
        <f t="shared" si="47"/>
        <v>0</v>
      </c>
    </row>
    <row r="321" spans="1:21" s="40" customFormat="1" ht="30.75" customHeight="1" thickBot="1" x14ac:dyDescent="0.35">
      <c r="A321" s="30">
        <f t="array" ref="A321">IF(B321&lt;&gt;"",COUNTIF($B$19:B321,"&lt;&gt;"),"")</f>
        <v>272</v>
      </c>
      <c r="B321" s="41">
        <v>228</v>
      </c>
      <c r="C321" s="42" t="s">
        <v>674</v>
      </c>
      <c r="D321" s="43">
        <v>3580</v>
      </c>
      <c r="E321" s="42" t="s">
        <v>675</v>
      </c>
      <c r="F321" s="49" t="s">
        <v>577</v>
      </c>
      <c r="G321" s="36" t="s">
        <v>676</v>
      </c>
      <c r="H321" s="44"/>
      <c r="I321" s="44"/>
      <c r="J321" s="44"/>
      <c r="K321" s="44"/>
      <c r="L321" s="44"/>
      <c r="M321" s="44"/>
      <c r="N321" s="36"/>
      <c r="O321" s="36"/>
      <c r="P321" s="45"/>
      <c r="Q321" s="45"/>
      <c r="R321" s="44"/>
      <c r="S321" s="46" t="s">
        <v>33</v>
      </c>
      <c r="T321" s="30" t="str">
        <f>IFERROR(VLOOKUP(O321, '[1]CURSOS 2025'!A:B, 2, FALSE), "")</f>
        <v/>
      </c>
      <c r="U321" s="39">
        <f t="shared" si="47"/>
        <v>0</v>
      </c>
    </row>
    <row r="322" spans="1:21" s="40" customFormat="1" ht="30.75" customHeight="1" thickBot="1" x14ac:dyDescent="0.35">
      <c r="A322" s="30">
        <f t="array" ref="A322">IF(B322&lt;&gt;"",COUNTIF($B$19:B322,"&lt;&gt;"),"")</f>
        <v>273</v>
      </c>
      <c r="B322" s="41">
        <v>228</v>
      </c>
      <c r="C322" s="42" t="s">
        <v>622</v>
      </c>
      <c r="D322" s="43">
        <v>3601</v>
      </c>
      <c r="E322" s="42" t="s">
        <v>677</v>
      </c>
      <c r="F322" s="49" t="s">
        <v>577</v>
      </c>
      <c r="G322" s="36" t="s">
        <v>678</v>
      </c>
      <c r="H322" s="44"/>
      <c r="I322" s="44"/>
      <c r="J322" s="44"/>
      <c r="K322" s="44"/>
      <c r="L322" s="44"/>
      <c r="M322" s="44"/>
      <c r="N322" s="36"/>
      <c r="O322" s="36"/>
      <c r="P322" s="45"/>
      <c r="Q322" s="45"/>
      <c r="R322" s="44"/>
      <c r="S322" s="46" t="s">
        <v>33</v>
      </c>
      <c r="T322" s="30" t="str">
        <f>IFERROR(VLOOKUP(O322, '[1]CURSOS 2025'!A:B, 2, FALSE), "")</f>
        <v/>
      </c>
      <c r="U322" s="39">
        <f t="shared" si="47"/>
        <v>0</v>
      </c>
    </row>
    <row r="323" spans="1:21" s="40" customFormat="1" ht="30.75" customHeight="1" thickBot="1" x14ac:dyDescent="0.35">
      <c r="A323" s="30">
        <f t="array" ref="A323">IF(B323&lt;&gt;"",COUNTIF($B$19:B323,"&lt;&gt;"),"")</f>
        <v>274</v>
      </c>
      <c r="B323" s="41">
        <v>228</v>
      </c>
      <c r="C323" s="42" t="s">
        <v>610</v>
      </c>
      <c r="D323" s="43">
        <v>3892</v>
      </c>
      <c r="E323" s="42" t="s">
        <v>679</v>
      </c>
      <c r="F323" s="49" t="s">
        <v>577</v>
      </c>
      <c r="G323" s="36" t="s">
        <v>680</v>
      </c>
      <c r="H323" s="44"/>
      <c r="I323" s="44"/>
      <c r="J323" s="44"/>
      <c r="K323" s="44"/>
      <c r="L323" s="44"/>
      <c r="M323" s="44"/>
      <c r="N323" s="36"/>
      <c r="O323" s="36"/>
      <c r="P323" s="45"/>
      <c r="Q323" s="45"/>
      <c r="R323" s="44"/>
      <c r="S323" s="46" t="s">
        <v>33</v>
      </c>
      <c r="T323" s="30" t="str">
        <f>IFERROR(VLOOKUP(O323, '[1]CURSOS 2025'!A:B, 2, FALSE), "")</f>
        <v/>
      </c>
      <c r="U323" s="39">
        <f t="shared" si="47"/>
        <v>0</v>
      </c>
    </row>
    <row r="324" spans="1:21" s="40" customFormat="1" ht="39.950000000000003" customHeight="1" thickBot="1" x14ac:dyDescent="0.35">
      <c r="A324" s="30">
        <f t="array" ref="A324">IF(B324&lt;&gt;"",COUNTIF($B$19:B324,"&lt;&gt;"),"")</f>
        <v>275</v>
      </c>
      <c r="B324" s="41">
        <v>228</v>
      </c>
      <c r="C324" s="42" t="s">
        <v>610</v>
      </c>
      <c r="D324" s="43">
        <v>3860</v>
      </c>
      <c r="E324" s="42" t="s">
        <v>681</v>
      </c>
      <c r="F324" s="49" t="s">
        <v>577</v>
      </c>
      <c r="G324" s="36" t="s">
        <v>682</v>
      </c>
      <c r="H324" s="44"/>
      <c r="I324" s="44"/>
      <c r="J324" s="44"/>
      <c r="K324" s="44"/>
      <c r="L324" s="44"/>
      <c r="M324" s="44"/>
      <c r="N324" s="36"/>
      <c r="O324" s="36"/>
      <c r="P324" s="45"/>
      <c r="Q324" s="45"/>
      <c r="R324" s="44"/>
      <c r="S324" s="46" t="s">
        <v>33</v>
      </c>
      <c r="T324" s="30" t="str">
        <f>IFERROR(VLOOKUP(O324, '[1]CURSOS 2025'!A:B, 2, FALSE), "")</f>
        <v/>
      </c>
      <c r="U324" s="39">
        <f t="shared" si="47"/>
        <v>0</v>
      </c>
    </row>
    <row r="325" spans="1:21" s="40" customFormat="1" ht="30.75" customHeight="1" thickBot="1" x14ac:dyDescent="0.35">
      <c r="A325" s="30">
        <f t="array" ref="A325">IF(B325&lt;&gt;"",COUNTIF($B$19:B325,"&lt;&gt;"),"")</f>
        <v>276</v>
      </c>
      <c r="B325" s="41">
        <v>228</v>
      </c>
      <c r="C325" s="42" t="s">
        <v>610</v>
      </c>
      <c r="D325" s="43">
        <v>3827</v>
      </c>
      <c r="E325" s="42" t="s">
        <v>683</v>
      </c>
      <c r="F325" s="49" t="s">
        <v>577</v>
      </c>
      <c r="G325" s="36" t="s">
        <v>684</v>
      </c>
      <c r="H325" s="44"/>
      <c r="I325" s="44"/>
      <c r="J325" s="44"/>
      <c r="K325" s="44"/>
      <c r="L325" s="44"/>
      <c r="M325" s="44"/>
      <c r="N325" s="36"/>
      <c r="O325" s="36"/>
      <c r="P325" s="45"/>
      <c r="Q325" s="45"/>
      <c r="R325" s="44"/>
      <c r="S325" s="46" t="s">
        <v>33</v>
      </c>
      <c r="T325" s="30" t="str">
        <f>IFERROR(VLOOKUP(O325, '[1]CURSOS 2025'!A:B, 2, FALSE), "")</f>
        <v/>
      </c>
      <c r="U325" s="39">
        <f t="shared" si="47"/>
        <v>0</v>
      </c>
    </row>
    <row r="326" spans="1:21" s="40" customFormat="1" ht="30.75" customHeight="1" thickBot="1" x14ac:dyDescent="0.35">
      <c r="A326" s="30">
        <f t="array" ref="A326">IF(B326&lt;&gt;"",COUNTIF($B$19:B326,"&lt;&gt;"),"")</f>
        <v>277</v>
      </c>
      <c r="B326" s="41">
        <v>228</v>
      </c>
      <c r="C326" s="42" t="s">
        <v>674</v>
      </c>
      <c r="D326" s="43">
        <v>3663</v>
      </c>
      <c r="E326" s="42" t="s">
        <v>685</v>
      </c>
      <c r="F326" s="49" t="s">
        <v>577</v>
      </c>
      <c r="G326" s="36" t="s">
        <v>686</v>
      </c>
      <c r="H326" s="44"/>
      <c r="I326" s="44"/>
      <c r="J326" s="44"/>
      <c r="K326" s="44"/>
      <c r="L326" s="44"/>
      <c r="M326" s="44"/>
      <c r="N326" s="36"/>
      <c r="O326" s="36"/>
      <c r="P326" s="45"/>
      <c r="Q326" s="45"/>
      <c r="R326" s="44"/>
      <c r="S326" s="46" t="s">
        <v>33</v>
      </c>
      <c r="T326" s="30" t="str">
        <f>IFERROR(VLOOKUP(O326, '[1]CURSOS 2025'!A:B, 2, FALSE), "")</f>
        <v/>
      </c>
      <c r="U326" s="39">
        <f t="shared" si="47"/>
        <v>0</v>
      </c>
    </row>
    <row r="327" spans="1:21" s="40" customFormat="1" ht="30.75" customHeight="1" thickBot="1" x14ac:dyDescent="0.35">
      <c r="A327" s="30">
        <f t="array" ref="A327">IF(B327&lt;&gt;"",COUNTIF($B$19:B327,"&lt;&gt;"),"")</f>
        <v>278</v>
      </c>
      <c r="B327" s="41">
        <v>228</v>
      </c>
      <c r="C327" s="42" t="s">
        <v>619</v>
      </c>
      <c r="D327" s="43">
        <v>3661</v>
      </c>
      <c r="E327" s="42" t="s">
        <v>687</v>
      </c>
      <c r="F327" s="49" t="s">
        <v>577</v>
      </c>
      <c r="G327" s="36" t="s">
        <v>688</v>
      </c>
      <c r="H327" s="44"/>
      <c r="I327" s="44"/>
      <c r="J327" s="44"/>
      <c r="K327" s="44"/>
      <c r="L327" s="44"/>
      <c r="M327" s="44"/>
      <c r="N327" s="36"/>
      <c r="O327" s="36"/>
      <c r="P327" s="45"/>
      <c r="Q327" s="45"/>
      <c r="R327" s="44"/>
      <c r="S327" s="46" t="s">
        <v>33</v>
      </c>
      <c r="T327" s="30" t="str">
        <f>IFERROR(VLOOKUP(O327, '[1]CURSOS 2025'!A:B, 2, FALSE), "")</f>
        <v/>
      </c>
      <c r="U327" s="39">
        <f t="shared" si="47"/>
        <v>0</v>
      </c>
    </row>
    <row r="328" spans="1:21" s="40" customFormat="1" ht="30.75" customHeight="1" thickBot="1" x14ac:dyDescent="0.35">
      <c r="A328" s="30">
        <f t="array" ref="A328">IF(B328&lt;&gt;"",COUNTIF($B$19:B328,"&lt;&gt;"),"")</f>
        <v>279</v>
      </c>
      <c r="B328" s="41">
        <v>228</v>
      </c>
      <c r="C328" s="42" t="s">
        <v>619</v>
      </c>
      <c r="D328" s="43">
        <v>3665</v>
      </c>
      <c r="E328" s="42" t="s">
        <v>689</v>
      </c>
      <c r="F328" s="49" t="s">
        <v>577</v>
      </c>
      <c r="G328" s="36" t="s">
        <v>690</v>
      </c>
      <c r="H328" s="44"/>
      <c r="I328" s="44"/>
      <c r="J328" s="44"/>
      <c r="K328" s="44"/>
      <c r="L328" s="44"/>
      <c r="M328" s="44"/>
      <c r="N328" s="36"/>
      <c r="O328" s="36"/>
      <c r="P328" s="45"/>
      <c r="Q328" s="45"/>
      <c r="R328" s="44"/>
      <c r="S328" s="46" t="s">
        <v>33</v>
      </c>
      <c r="T328" s="30" t="str">
        <f>IFERROR(VLOOKUP(O328, '[1]CURSOS 2025'!A:B, 2, FALSE), "")</f>
        <v/>
      </c>
      <c r="U328" s="39">
        <f t="shared" si="47"/>
        <v>0</v>
      </c>
    </row>
    <row r="329" spans="1:21" s="40" customFormat="1" ht="39.950000000000003" customHeight="1" thickBot="1" x14ac:dyDescent="0.35">
      <c r="A329" s="30">
        <f t="array" ref="A329">IF(B329&lt;&gt;"",COUNTIF($B$19:B329,"&lt;&gt;"),"")</f>
        <v>280</v>
      </c>
      <c r="B329" s="41">
        <v>228</v>
      </c>
      <c r="C329" s="42"/>
      <c r="D329" s="43" t="s">
        <v>691</v>
      </c>
      <c r="E329" s="42" t="s">
        <v>692</v>
      </c>
      <c r="F329" s="49" t="s">
        <v>577</v>
      </c>
      <c r="G329" s="49" t="s">
        <v>597</v>
      </c>
      <c r="H329" s="44"/>
      <c r="I329" s="44"/>
      <c r="J329" s="44"/>
      <c r="K329" s="44"/>
      <c r="L329" s="44"/>
      <c r="M329" s="44"/>
      <c r="N329" s="36"/>
      <c r="O329" s="36"/>
      <c r="P329" s="45"/>
      <c r="Q329" s="45"/>
      <c r="R329" s="44"/>
      <c r="S329" s="46" t="s">
        <v>33</v>
      </c>
      <c r="T329" s="30" t="str">
        <f>IFERROR(VLOOKUP(O329, '[1]CURSOS 2025'!A:B, 2, FALSE), "")</f>
        <v/>
      </c>
      <c r="U329" s="39">
        <f t="shared" si="47"/>
        <v>0</v>
      </c>
    </row>
    <row r="330" spans="1:21" s="40" customFormat="1" ht="30.75" customHeight="1" thickBot="1" x14ac:dyDescent="0.35">
      <c r="A330" s="30">
        <f t="array" ref="A330">IF(B330&lt;&gt;"",COUNTIF($B$19:B330,"&lt;&gt;"),"")</f>
        <v>281</v>
      </c>
      <c r="B330" s="41">
        <v>228</v>
      </c>
      <c r="C330" s="42" t="s">
        <v>693</v>
      </c>
      <c r="D330" s="43" t="s">
        <v>694</v>
      </c>
      <c r="E330" s="42" t="s">
        <v>695</v>
      </c>
      <c r="F330" s="49" t="s">
        <v>577</v>
      </c>
      <c r="G330" s="36" t="s">
        <v>696</v>
      </c>
      <c r="H330" s="44"/>
      <c r="I330" s="44"/>
      <c r="J330" s="44"/>
      <c r="K330" s="44"/>
      <c r="L330" s="44"/>
      <c r="M330" s="44"/>
      <c r="N330" s="36"/>
      <c r="O330" s="36"/>
      <c r="P330" s="45"/>
      <c r="Q330" s="45"/>
      <c r="R330" s="44"/>
      <c r="S330" s="46" t="s">
        <v>33</v>
      </c>
      <c r="T330" s="30" t="str">
        <f>IFERROR(VLOOKUP(O330, '[1]CURSOS 2025'!A:B, 2, FALSE), "")</f>
        <v/>
      </c>
      <c r="U330" s="39">
        <f t="shared" si="47"/>
        <v>0</v>
      </c>
    </row>
    <row r="331" spans="1:21" s="40" customFormat="1" ht="30.75" customHeight="1" thickBot="1" x14ac:dyDescent="0.35">
      <c r="A331" s="30">
        <f t="array" ref="A331">IF(B331&lt;&gt;"",COUNTIF($B$19:B331,"&lt;&gt;"),"")</f>
        <v>282</v>
      </c>
      <c r="B331" s="41">
        <v>228</v>
      </c>
      <c r="C331" s="42" t="s">
        <v>697</v>
      </c>
      <c r="D331" s="43" t="s">
        <v>698</v>
      </c>
      <c r="E331" s="42" t="s">
        <v>699</v>
      </c>
      <c r="F331" s="49" t="s">
        <v>577</v>
      </c>
      <c r="G331" s="36" t="s">
        <v>700</v>
      </c>
      <c r="H331" s="44"/>
      <c r="I331" s="44"/>
      <c r="J331" s="44"/>
      <c r="K331" s="44"/>
      <c r="L331" s="44"/>
      <c r="M331" s="44"/>
      <c r="N331" s="36"/>
      <c r="O331" s="36"/>
      <c r="P331" s="45"/>
      <c r="Q331" s="45"/>
      <c r="R331" s="44"/>
      <c r="S331" s="46" t="s">
        <v>33</v>
      </c>
      <c r="T331" s="30" t="str">
        <f>IFERROR(VLOOKUP(O331, '[1]CURSOS 2025'!A:B, 2, FALSE), "")</f>
        <v/>
      </c>
      <c r="U331" s="39">
        <f t="shared" si="47"/>
        <v>0</v>
      </c>
    </row>
    <row r="332" spans="1:21" s="40" customFormat="1" ht="30.75" customHeight="1" thickBot="1" x14ac:dyDescent="0.35">
      <c r="A332" s="30">
        <f t="array" ref="A332">IF(B332&lt;&gt;"",COUNTIF($B$19:B332,"&lt;&gt;"),"")</f>
        <v>283</v>
      </c>
      <c r="B332" s="41">
        <v>228</v>
      </c>
      <c r="C332" s="42" t="s">
        <v>697</v>
      </c>
      <c r="D332" s="43" t="s">
        <v>701</v>
      </c>
      <c r="E332" s="42" t="s">
        <v>702</v>
      </c>
      <c r="F332" s="49" t="s">
        <v>577</v>
      </c>
      <c r="G332" s="36" t="s">
        <v>703</v>
      </c>
      <c r="H332" s="44"/>
      <c r="I332" s="44"/>
      <c r="J332" s="44"/>
      <c r="K332" s="44"/>
      <c r="L332" s="44"/>
      <c r="M332" s="44"/>
      <c r="N332" s="36"/>
      <c r="O332" s="36"/>
      <c r="P332" s="45"/>
      <c r="Q332" s="45"/>
      <c r="R332" s="44"/>
      <c r="S332" s="46" t="s">
        <v>33</v>
      </c>
      <c r="T332" s="30" t="str">
        <f>IFERROR(VLOOKUP(O332, '[1]CURSOS 2025'!A:B, 2, FALSE), "")</f>
        <v/>
      </c>
      <c r="U332" s="39">
        <f t="shared" si="47"/>
        <v>0</v>
      </c>
    </row>
    <row r="333" spans="1:21" s="40" customFormat="1" ht="30.75" customHeight="1" thickBot="1" x14ac:dyDescent="0.35">
      <c r="A333" s="30">
        <f t="array" ref="A333">IF(B333&lt;&gt;"",COUNTIF($B$19:B333,"&lt;&gt;"),"")</f>
        <v>284</v>
      </c>
      <c r="B333" s="41">
        <v>228</v>
      </c>
      <c r="C333" s="42" t="s">
        <v>697</v>
      </c>
      <c r="D333" s="43" t="s">
        <v>704</v>
      </c>
      <c r="E333" s="42" t="s">
        <v>705</v>
      </c>
      <c r="F333" s="49" t="s">
        <v>577</v>
      </c>
      <c r="G333" s="36" t="s">
        <v>706</v>
      </c>
      <c r="H333" s="44"/>
      <c r="I333" s="44"/>
      <c r="J333" s="44"/>
      <c r="K333" s="44"/>
      <c r="L333" s="44"/>
      <c r="M333" s="44"/>
      <c r="N333" s="36"/>
      <c r="O333" s="36"/>
      <c r="P333" s="45"/>
      <c r="Q333" s="45"/>
      <c r="R333" s="44"/>
      <c r="S333" s="46" t="s">
        <v>33</v>
      </c>
      <c r="T333" s="30" t="str">
        <f>IFERROR(VLOOKUP(O333, '[1]CURSOS 2025'!A:B, 2, FALSE), "")</f>
        <v/>
      </c>
      <c r="U333" s="39">
        <f t="shared" si="47"/>
        <v>0</v>
      </c>
    </row>
    <row r="334" spans="1:21" s="40" customFormat="1" ht="30.75" customHeight="1" thickBot="1" x14ac:dyDescent="0.35">
      <c r="A334" s="30">
        <f t="array" ref="A334">IF(B334&lt;&gt;"",COUNTIF($B$19:B334,"&lt;&gt;"),"")</f>
        <v>285</v>
      </c>
      <c r="B334" s="41">
        <v>228</v>
      </c>
      <c r="C334" s="42" t="s">
        <v>693</v>
      </c>
      <c r="D334" s="43" t="s">
        <v>707</v>
      </c>
      <c r="E334" s="42" t="s">
        <v>708</v>
      </c>
      <c r="F334" s="49" t="s">
        <v>577</v>
      </c>
      <c r="G334" s="36" t="s">
        <v>709</v>
      </c>
      <c r="H334" s="44"/>
      <c r="I334" s="44"/>
      <c r="J334" s="44"/>
      <c r="K334" s="44"/>
      <c r="L334" s="44"/>
      <c r="M334" s="44"/>
      <c r="N334" s="36"/>
      <c r="O334" s="36"/>
      <c r="P334" s="45"/>
      <c r="Q334" s="45"/>
      <c r="R334" s="44"/>
      <c r="S334" s="46" t="s">
        <v>33</v>
      </c>
      <c r="T334" s="30" t="str">
        <f>IFERROR(VLOOKUP(O334, '[1]CURSOS 2025'!A:B, 2, FALSE), "")</f>
        <v/>
      </c>
      <c r="U334" s="39">
        <f t="shared" si="47"/>
        <v>0</v>
      </c>
    </row>
    <row r="335" spans="1:21" s="40" customFormat="1" ht="30.75" customHeight="1" thickBot="1" x14ac:dyDescent="0.35">
      <c r="A335" s="30">
        <f t="array" ref="A335">IF(B335&lt;&gt;"",COUNTIF($B$19:B335,"&lt;&gt;"),"")</f>
        <v>286</v>
      </c>
      <c r="B335" s="41">
        <v>228</v>
      </c>
      <c r="C335" s="42" t="s">
        <v>697</v>
      </c>
      <c r="D335" s="43" t="s">
        <v>710</v>
      </c>
      <c r="E335" s="42" t="s">
        <v>711</v>
      </c>
      <c r="F335" s="49" t="s">
        <v>577</v>
      </c>
      <c r="G335" s="36" t="s">
        <v>712</v>
      </c>
      <c r="H335" s="44"/>
      <c r="I335" s="44"/>
      <c r="J335" s="44"/>
      <c r="K335" s="44"/>
      <c r="L335" s="44"/>
      <c r="M335" s="44"/>
      <c r="N335" s="36"/>
      <c r="O335" s="36"/>
      <c r="P335" s="45"/>
      <c r="Q335" s="45"/>
      <c r="R335" s="44"/>
      <c r="S335" s="46" t="s">
        <v>33</v>
      </c>
      <c r="T335" s="30" t="str">
        <f>IFERROR(VLOOKUP(O335, '[1]CURSOS 2025'!A:B, 2, FALSE), "")</f>
        <v/>
      </c>
      <c r="U335" s="39">
        <f t="shared" si="47"/>
        <v>0</v>
      </c>
    </row>
    <row r="336" spans="1:21" s="40" customFormat="1" ht="39.950000000000003" customHeight="1" thickBot="1" x14ac:dyDescent="0.35">
      <c r="A336" s="30">
        <f t="array" ref="A336">IF(B336&lt;&gt;"",COUNTIF($B$19:B336,"&lt;&gt;"),"")</f>
        <v>287</v>
      </c>
      <c r="B336" s="41">
        <v>228</v>
      </c>
      <c r="C336" s="42" t="s">
        <v>697</v>
      </c>
      <c r="D336" s="43" t="s">
        <v>713</v>
      </c>
      <c r="E336" s="42" t="s">
        <v>714</v>
      </c>
      <c r="F336" s="49" t="s">
        <v>577</v>
      </c>
      <c r="G336" s="36" t="s">
        <v>715</v>
      </c>
      <c r="H336" s="44"/>
      <c r="I336" s="44"/>
      <c r="J336" s="44"/>
      <c r="K336" s="44"/>
      <c r="L336" s="44"/>
      <c r="M336" s="44"/>
      <c r="N336" s="36"/>
      <c r="O336" s="36"/>
      <c r="P336" s="45"/>
      <c r="Q336" s="45"/>
      <c r="R336" s="44"/>
      <c r="S336" s="46" t="s">
        <v>33</v>
      </c>
      <c r="T336" s="30" t="str">
        <f>IFERROR(VLOOKUP(O336, '[1]CURSOS 2025'!A:B, 2, FALSE), "")</f>
        <v/>
      </c>
      <c r="U336" s="39">
        <f t="shared" si="47"/>
        <v>0</v>
      </c>
    </row>
    <row r="337" spans="1:21" s="59" customFormat="1" ht="39.950000000000003" customHeight="1" thickBot="1" x14ac:dyDescent="0.35">
      <c r="A337" s="30" t="str">
        <f t="array" ref="A337">IF(B337&lt;&gt;"",COUNTIF($B$19:B337,"&lt;&gt;"),"")</f>
        <v/>
      </c>
      <c r="B337" s="50"/>
      <c r="C337" s="51"/>
      <c r="D337" s="52"/>
      <c r="E337" s="51"/>
      <c r="F337" s="53"/>
      <c r="G337" s="53"/>
      <c r="H337" s="54"/>
      <c r="I337" s="54"/>
      <c r="J337" s="54"/>
      <c r="K337" s="54"/>
      <c r="L337" s="54"/>
      <c r="M337" s="54"/>
      <c r="N337" s="55"/>
      <c r="O337" s="55"/>
      <c r="P337" s="56"/>
      <c r="Q337" s="56"/>
      <c r="R337" s="54"/>
      <c r="S337" s="54"/>
      <c r="T337" s="57" t="str">
        <f>IFERROR(VLOOKUP(O337, '[1]CURSOS 2025'!A:B, 2, FALSE), "")</f>
        <v/>
      </c>
      <c r="U337" s="58"/>
    </row>
    <row r="338" spans="1:21" s="40" customFormat="1" ht="39.950000000000003" customHeight="1" thickBot="1" x14ac:dyDescent="0.35">
      <c r="A338" s="30">
        <f t="array" ref="A338">IF(B338&lt;&gt;"",COUNTIF($B$19:B338,"&lt;&gt;"),"")</f>
        <v>288</v>
      </c>
      <c r="B338" s="41">
        <v>326</v>
      </c>
      <c r="C338" s="42" t="s">
        <v>34</v>
      </c>
      <c r="D338" s="43" t="s">
        <v>716</v>
      </c>
      <c r="E338" s="42" t="s">
        <v>717</v>
      </c>
      <c r="F338" s="49" t="s">
        <v>718</v>
      </c>
      <c r="G338" s="36" t="s">
        <v>719</v>
      </c>
      <c r="H338" s="44"/>
      <c r="I338" s="44"/>
      <c r="J338" s="44"/>
      <c r="K338" s="44" t="s">
        <v>231</v>
      </c>
      <c r="L338" s="44" t="s">
        <v>231</v>
      </c>
      <c r="M338" s="44" t="s">
        <v>231</v>
      </c>
      <c r="N338" s="36" t="s">
        <v>1537</v>
      </c>
      <c r="O338" s="36" t="s">
        <v>1713</v>
      </c>
      <c r="P338" s="45">
        <v>46069</v>
      </c>
      <c r="Q338" s="45">
        <v>46069</v>
      </c>
      <c r="R338" s="44">
        <v>2</v>
      </c>
      <c r="S338" s="46" t="s">
        <v>33</v>
      </c>
      <c r="T338" s="30" t="s">
        <v>234</v>
      </c>
      <c r="U338" s="221">
        <f>SUM(R338:R341)</f>
        <v>8</v>
      </c>
    </row>
    <row r="339" spans="1:21" s="40" customFormat="1" ht="39.950000000000003" customHeight="1" thickBot="1" x14ac:dyDescent="0.35">
      <c r="A339" s="30" t="str">
        <f t="array" ref="A339">IF(B339&lt;&gt;"",COUNTIF($B$19:B339,"&lt;&gt;"),"")</f>
        <v/>
      </c>
      <c r="B339" s="41"/>
      <c r="C339" s="42"/>
      <c r="D339" s="43"/>
      <c r="E339" s="42"/>
      <c r="F339" s="49"/>
      <c r="G339" s="36"/>
      <c r="H339" s="44"/>
      <c r="I339" s="44"/>
      <c r="J339" s="44"/>
      <c r="K339" s="44" t="s">
        <v>231</v>
      </c>
      <c r="L339" s="44" t="s">
        <v>231</v>
      </c>
      <c r="M339" s="44" t="s">
        <v>231</v>
      </c>
      <c r="N339" s="36" t="s">
        <v>1537</v>
      </c>
      <c r="O339" s="36" t="s">
        <v>1715</v>
      </c>
      <c r="P339" s="45">
        <v>46071</v>
      </c>
      <c r="Q339" s="45">
        <v>46071</v>
      </c>
      <c r="R339" s="44">
        <v>2</v>
      </c>
      <c r="S339" s="46" t="s">
        <v>33</v>
      </c>
      <c r="T339" s="30" t="s">
        <v>234</v>
      </c>
      <c r="U339" s="222"/>
    </row>
    <row r="340" spans="1:21" s="40" customFormat="1" ht="39.950000000000003" customHeight="1" thickBot="1" x14ac:dyDescent="0.35">
      <c r="A340" s="30" t="str">
        <f t="array" ref="A340">IF(B340&lt;&gt;"",COUNTIF($B$19:B340,"&lt;&gt;"),"")</f>
        <v/>
      </c>
      <c r="B340" s="41"/>
      <c r="C340" s="42"/>
      <c r="D340" s="43"/>
      <c r="E340" s="42"/>
      <c r="F340" s="49"/>
      <c r="G340" s="36"/>
      <c r="H340" s="44"/>
      <c r="I340" s="44"/>
      <c r="J340" s="44"/>
      <c r="K340" s="44" t="s">
        <v>231</v>
      </c>
      <c r="L340" s="44" t="s">
        <v>231</v>
      </c>
      <c r="M340" s="44" t="s">
        <v>231</v>
      </c>
      <c r="N340" s="36" t="s">
        <v>1537</v>
      </c>
      <c r="O340" s="36" t="s">
        <v>1716</v>
      </c>
      <c r="P340" s="45">
        <v>46071</v>
      </c>
      <c r="Q340" s="45">
        <v>46071</v>
      </c>
      <c r="R340" s="44">
        <v>2</v>
      </c>
      <c r="S340" s="46" t="s">
        <v>33</v>
      </c>
      <c r="T340" s="30" t="s">
        <v>234</v>
      </c>
      <c r="U340" s="222"/>
    </row>
    <row r="341" spans="1:21" s="40" customFormat="1" ht="39.950000000000003" customHeight="1" thickBot="1" x14ac:dyDescent="0.35">
      <c r="A341" s="30" t="str">
        <f t="array" ref="A341">IF(B341&lt;&gt;"",COUNTIF($B$19:B341,"&lt;&gt;"),"")</f>
        <v/>
      </c>
      <c r="B341" s="41"/>
      <c r="C341" s="42"/>
      <c r="D341" s="43"/>
      <c r="E341" s="42"/>
      <c r="F341" s="49"/>
      <c r="G341" s="36"/>
      <c r="H341" s="44"/>
      <c r="I341" s="44"/>
      <c r="J341" s="44"/>
      <c r="K341" s="44" t="s">
        <v>231</v>
      </c>
      <c r="L341" s="44" t="s">
        <v>231</v>
      </c>
      <c r="M341" s="44" t="s">
        <v>231</v>
      </c>
      <c r="N341" s="36" t="s">
        <v>1537</v>
      </c>
      <c r="O341" s="36" t="s">
        <v>1717</v>
      </c>
      <c r="P341" s="45">
        <v>46073</v>
      </c>
      <c r="Q341" s="45">
        <v>46073</v>
      </c>
      <c r="R341" s="44">
        <v>2</v>
      </c>
      <c r="S341" s="46" t="s">
        <v>33</v>
      </c>
      <c r="T341" s="30" t="s">
        <v>234</v>
      </c>
      <c r="U341" s="223"/>
    </row>
    <row r="342" spans="1:21" s="40" customFormat="1" ht="39.950000000000003" customHeight="1" thickBot="1" x14ac:dyDescent="0.35">
      <c r="A342" s="30">
        <f t="array" ref="A342">IF(B342&lt;&gt;"",COUNTIF($B$19:B342,"&lt;&gt;"),"")</f>
        <v>289</v>
      </c>
      <c r="B342" s="41">
        <v>326</v>
      </c>
      <c r="C342" s="42" t="s">
        <v>38</v>
      </c>
      <c r="D342" s="43">
        <v>206126</v>
      </c>
      <c r="E342" s="42" t="s">
        <v>720</v>
      </c>
      <c r="F342" s="49" t="s">
        <v>718</v>
      </c>
      <c r="G342" s="36" t="s">
        <v>721</v>
      </c>
      <c r="H342" s="44"/>
      <c r="I342" s="44"/>
      <c r="J342" s="44"/>
      <c r="K342" s="44"/>
      <c r="L342" s="44"/>
      <c r="M342" s="44"/>
      <c r="N342" s="36"/>
      <c r="O342" s="36"/>
      <c r="P342" s="45"/>
      <c r="Q342" s="45"/>
      <c r="R342" s="44"/>
      <c r="S342" s="44" t="s">
        <v>37</v>
      </c>
      <c r="T342" s="30" t="str">
        <f>IFERROR(VLOOKUP(O342, '[1]CURSOS 2025'!A:B, 2, FALSE), "")</f>
        <v/>
      </c>
      <c r="U342" s="48">
        <f t="shared" ref="U342" si="48">SUM(R342)</f>
        <v>0</v>
      </c>
    </row>
    <row r="343" spans="1:21" s="40" customFormat="1" ht="39.950000000000003" customHeight="1" thickBot="1" x14ac:dyDescent="0.35">
      <c r="A343" s="30">
        <v>290</v>
      </c>
      <c r="B343" s="41">
        <v>326</v>
      </c>
      <c r="C343" s="42" t="s">
        <v>38</v>
      </c>
      <c r="D343" s="43" t="s">
        <v>2323</v>
      </c>
      <c r="E343" s="42" t="s">
        <v>2324</v>
      </c>
      <c r="F343" s="49" t="s">
        <v>724</v>
      </c>
      <c r="G343" s="36" t="s">
        <v>2325</v>
      </c>
      <c r="H343" s="44" t="s">
        <v>231</v>
      </c>
      <c r="I343" s="44" t="s">
        <v>231</v>
      </c>
      <c r="J343" s="44" t="s">
        <v>231</v>
      </c>
      <c r="K343" s="44"/>
      <c r="L343" s="44"/>
      <c r="M343" s="44"/>
      <c r="N343" s="36" t="s">
        <v>1743</v>
      </c>
      <c r="O343" s="36" t="s">
        <v>2313</v>
      </c>
      <c r="P343" s="45">
        <v>46153</v>
      </c>
      <c r="Q343" s="45">
        <v>46153</v>
      </c>
      <c r="R343" s="44">
        <v>1</v>
      </c>
      <c r="S343" s="44" t="s">
        <v>33</v>
      </c>
      <c r="T343" s="30" t="s">
        <v>234</v>
      </c>
      <c r="U343" s="48">
        <v>1</v>
      </c>
    </row>
    <row r="344" spans="1:21" s="59" customFormat="1" ht="39.950000000000003" customHeight="1" thickBot="1" x14ac:dyDescent="0.35">
      <c r="A344" s="30" t="str">
        <f t="array" ref="A344">IF(B344&lt;&gt;"",COUNTIF($B$19:B344,"&lt;&gt;"),"")</f>
        <v/>
      </c>
      <c r="B344" s="50"/>
      <c r="C344" s="51"/>
      <c r="D344" s="52"/>
      <c r="E344" s="51"/>
      <c r="F344" s="53"/>
      <c r="G344" s="53"/>
      <c r="H344" s="54"/>
      <c r="I344" s="54"/>
      <c r="J344" s="54"/>
      <c r="K344" s="54"/>
      <c r="L344" s="54"/>
      <c r="M344" s="54"/>
      <c r="N344" s="55"/>
      <c r="O344" s="55"/>
      <c r="P344" s="56"/>
      <c r="Q344" s="56"/>
      <c r="R344" s="54"/>
      <c r="S344" s="54"/>
      <c r="T344" s="57" t="str">
        <f>IFERROR(VLOOKUP(O344, '[1]CURSOS 2025'!A:B, 2, FALSE), "")</f>
        <v/>
      </c>
      <c r="U344" s="58"/>
    </row>
    <row r="345" spans="1:21" s="40" customFormat="1" ht="39.950000000000003" customHeight="1" thickBot="1" x14ac:dyDescent="0.35">
      <c r="A345" s="30">
        <f t="array" ref="A345">IF(B345&lt;&gt;"",COUNTIF($B$19:B345,"&lt;&gt;"),"")</f>
        <v>291</v>
      </c>
      <c r="B345" s="41">
        <v>326</v>
      </c>
      <c r="C345" s="42" t="s">
        <v>34</v>
      </c>
      <c r="D345" s="43" t="s">
        <v>722</v>
      </c>
      <c r="E345" s="42" t="s">
        <v>723</v>
      </c>
      <c r="F345" s="49" t="s">
        <v>724</v>
      </c>
      <c r="G345" s="49" t="s">
        <v>725</v>
      </c>
      <c r="H345" s="44"/>
      <c r="I345" s="44"/>
      <c r="J345" s="44"/>
      <c r="K345" s="44" t="s">
        <v>231</v>
      </c>
      <c r="L345" s="44" t="s">
        <v>231</v>
      </c>
      <c r="M345" s="44" t="s">
        <v>231</v>
      </c>
      <c r="N345" s="36" t="s">
        <v>1537</v>
      </c>
      <c r="O345" s="36" t="s">
        <v>1713</v>
      </c>
      <c r="P345" s="45">
        <v>46069</v>
      </c>
      <c r="Q345" s="45">
        <v>46069</v>
      </c>
      <c r="R345" s="44">
        <v>2</v>
      </c>
      <c r="S345" s="46" t="s">
        <v>33</v>
      </c>
      <c r="T345" s="30" t="s">
        <v>234</v>
      </c>
      <c r="U345" s="221">
        <f>SUM(R345:R346)</f>
        <v>4</v>
      </c>
    </row>
    <row r="346" spans="1:21" s="40" customFormat="1" ht="39.950000000000003" customHeight="1" thickBot="1" x14ac:dyDescent="0.35">
      <c r="A346" s="30" t="str">
        <f t="array" ref="A346">IF(B346&lt;&gt;"",COUNTIF($B$19:B346,"&lt;&gt;"),"")</f>
        <v/>
      </c>
      <c r="B346" s="41"/>
      <c r="C346" s="42"/>
      <c r="D346" s="43"/>
      <c r="E346" s="42"/>
      <c r="F346" s="49"/>
      <c r="G346" s="49"/>
      <c r="H346" s="44"/>
      <c r="I346" s="44"/>
      <c r="J346" s="44"/>
      <c r="K346" s="44" t="s">
        <v>231</v>
      </c>
      <c r="L346" s="44" t="s">
        <v>231</v>
      </c>
      <c r="M346" s="44" t="s">
        <v>231</v>
      </c>
      <c r="N346" s="36" t="s">
        <v>1537</v>
      </c>
      <c r="O346" s="36" t="s">
        <v>1716</v>
      </c>
      <c r="P346" s="45">
        <v>46071</v>
      </c>
      <c r="Q346" s="45">
        <v>46071</v>
      </c>
      <c r="R346" s="44">
        <v>2</v>
      </c>
      <c r="S346" s="46" t="s">
        <v>33</v>
      </c>
      <c r="T346" s="30" t="s">
        <v>234</v>
      </c>
      <c r="U346" s="223"/>
    </row>
    <row r="347" spans="1:21" s="40" customFormat="1" ht="39.950000000000003" customHeight="1" thickBot="1" x14ac:dyDescent="0.35">
      <c r="A347" s="30">
        <f t="array" ref="A347">IF(B347&lt;&gt;"",COUNTIF($B$19:B347,"&lt;&gt;"),"")</f>
        <v>292</v>
      </c>
      <c r="B347" s="41">
        <v>328</v>
      </c>
      <c r="C347" s="42" t="s">
        <v>726</v>
      </c>
      <c r="D347" s="43" t="s">
        <v>727</v>
      </c>
      <c r="E347" s="42" t="s">
        <v>728</v>
      </c>
      <c r="F347" s="49" t="s">
        <v>724</v>
      </c>
      <c r="G347" s="36" t="s">
        <v>729</v>
      </c>
      <c r="H347" s="44"/>
      <c r="I347" s="44"/>
      <c r="J347" s="44"/>
      <c r="K347" s="44"/>
      <c r="L347" s="44"/>
      <c r="M347" s="44"/>
      <c r="N347" s="36"/>
      <c r="O347" s="36"/>
      <c r="P347" s="45"/>
      <c r="Q347" s="45"/>
      <c r="R347" s="44"/>
      <c r="S347" s="44" t="s">
        <v>33</v>
      </c>
      <c r="T347" s="30" t="str">
        <f>IFERROR(VLOOKUP(O347, '[1]CURSOS 2025'!A:B, 2, FALSE), "")</f>
        <v/>
      </c>
      <c r="U347" s="48">
        <f t="shared" ref="U347:U348" si="49">SUM(R347)</f>
        <v>0</v>
      </c>
    </row>
    <row r="348" spans="1:21" s="40" customFormat="1" ht="39.950000000000003" customHeight="1" thickBot="1" x14ac:dyDescent="0.35">
      <c r="A348" s="30">
        <f t="array" ref="A348">IF(B348&lt;&gt;"",COUNTIF($B$19:B348,"&lt;&gt;"),"")</f>
        <v>293</v>
      </c>
      <c r="B348" s="41">
        <v>328</v>
      </c>
      <c r="C348" s="42" t="s">
        <v>730</v>
      </c>
      <c r="D348" s="43">
        <v>1511</v>
      </c>
      <c r="E348" s="42" t="s">
        <v>731</v>
      </c>
      <c r="F348" s="49" t="s">
        <v>724</v>
      </c>
      <c r="G348" s="36" t="s">
        <v>732</v>
      </c>
      <c r="H348" s="44"/>
      <c r="I348" s="44"/>
      <c r="J348" s="44"/>
      <c r="K348" s="44"/>
      <c r="L348" s="44"/>
      <c r="M348" s="44"/>
      <c r="N348" s="36"/>
      <c r="O348" s="36"/>
      <c r="P348" s="45"/>
      <c r="Q348" s="45"/>
      <c r="R348" s="44"/>
      <c r="S348" s="44" t="s">
        <v>33</v>
      </c>
      <c r="T348" s="30" t="str">
        <f>IFERROR(VLOOKUP(O348, '[1]CURSOS 2025'!A:B, 2, FALSE), "")</f>
        <v/>
      </c>
      <c r="U348" s="48">
        <f t="shared" si="49"/>
        <v>0</v>
      </c>
    </row>
    <row r="349" spans="1:21" s="40" customFormat="1" ht="39.950000000000003" customHeight="1" thickBot="1" x14ac:dyDescent="0.35">
      <c r="A349" s="30">
        <f t="array" ref="A349">IF(B349&lt;&gt;"",COUNTIF($B$19:B349,"&lt;&gt;"),"")</f>
        <v>294</v>
      </c>
      <c r="B349" s="41">
        <v>328</v>
      </c>
      <c r="C349" s="42" t="s">
        <v>34</v>
      </c>
      <c r="D349" s="43">
        <v>20323</v>
      </c>
      <c r="E349" s="42" t="s">
        <v>733</v>
      </c>
      <c r="F349" s="49" t="s">
        <v>724</v>
      </c>
      <c r="G349" s="36" t="s">
        <v>734</v>
      </c>
      <c r="H349" s="44"/>
      <c r="I349" s="44"/>
      <c r="J349" s="44"/>
      <c r="K349" s="44" t="s">
        <v>231</v>
      </c>
      <c r="L349" s="44" t="s">
        <v>231</v>
      </c>
      <c r="M349" s="44" t="s">
        <v>231</v>
      </c>
      <c r="N349" s="36" t="s">
        <v>1537</v>
      </c>
      <c r="O349" s="36" t="s">
        <v>1713</v>
      </c>
      <c r="P349" s="45">
        <v>46069</v>
      </c>
      <c r="Q349" s="45">
        <v>46069</v>
      </c>
      <c r="R349" s="44">
        <v>2</v>
      </c>
      <c r="S349" s="46" t="s">
        <v>33</v>
      </c>
      <c r="T349" s="30" t="s">
        <v>234</v>
      </c>
      <c r="U349" s="221">
        <f>SUM(R349:R352)</f>
        <v>8</v>
      </c>
    </row>
    <row r="350" spans="1:21" s="40" customFormat="1" ht="39.950000000000003" customHeight="1" thickBot="1" x14ac:dyDescent="0.35">
      <c r="A350" s="30"/>
      <c r="B350" s="41"/>
      <c r="C350" s="42"/>
      <c r="D350" s="43"/>
      <c r="E350" s="42"/>
      <c r="F350" s="49"/>
      <c r="G350" s="36"/>
      <c r="H350" s="44"/>
      <c r="I350" s="44"/>
      <c r="J350" s="44"/>
      <c r="K350" s="44" t="s">
        <v>231</v>
      </c>
      <c r="L350" s="44" t="s">
        <v>231</v>
      </c>
      <c r="M350" s="44" t="s">
        <v>231</v>
      </c>
      <c r="N350" s="36" t="s">
        <v>1537</v>
      </c>
      <c r="O350" s="212" t="s">
        <v>1715</v>
      </c>
      <c r="P350" s="213">
        <v>46071</v>
      </c>
      <c r="Q350" s="213">
        <v>46071</v>
      </c>
      <c r="R350" s="214">
        <v>2</v>
      </c>
      <c r="S350" s="46" t="s">
        <v>33</v>
      </c>
      <c r="T350" s="30" t="s">
        <v>234</v>
      </c>
      <c r="U350" s="222"/>
    </row>
    <row r="351" spans="1:21" s="40" customFormat="1" ht="39.950000000000003" customHeight="1" thickBot="1" x14ac:dyDescent="0.35">
      <c r="A351" s="30" t="str">
        <f t="array" ref="A351">IF(B351&lt;&gt;"",COUNTIF($B$19:B351,"&lt;&gt;"),"")</f>
        <v/>
      </c>
      <c r="B351" s="41"/>
      <c r="C351" s="42"/>
      <c r="D351" s="43"/>
      <c r="E351" s="42"/>
      <c r="F351" s="49"/>
      <c r="G351" s="36"/>
      <c r="H351" s="44"/>
      <c r="I351" s="44"/>
      <c r="J351" s="44"/>
      <c r="K351" s="44" t="s">
        <v>231</v>
      </c>
      <c r="L351" s="44" t="s">
        <v>231</v>
      </c>
      <c r="M351" s="44" t="s">
        <v>231</v>
      </c>
      <c r="N351" s="36" t="s">
        <v>1537</v>
      </c>
      <c r="O351" s="36" t="s">
        <v>1716</v>
      </c>
      <c r="P351" s="45">
        <v>46071</v>
      </c>
      <c r="Q351" s="45">
        <v>46071</v>
      </c>
      <c r="R351" s="44">
        <v>2</v>
      </c>
      <c r="S351" s="46" t="s">
        <v>33</v>
      </c>
      <c r="T351" s="30" t="s">
        <v>234</v>
      </c>
      <c r="U351" s="222"/>
    </row>
    <row r="352" spans="1:21" s="40" customFormat="1" ht="39.950000000000003" customHeight="1" thickBot="1" x14ac:dyDescent="0.35">
      <c r="A352" s="30" t="str">
        <f t="array" ref="A352">IF(B352&lt;&gt;"",COUNTIF($B$19:B352,"&lt;&gt;"),"")</f>
        <v/>
      </c>
      <c r="B352" s="41"/>
      <c r="C352" s="42"/>
      <c r="D352" s="43"/>
      <c r="E352" s="42"/>
      <c r="F352" s="49"/>
      <c r="G352" s="36"/>
      <c r="H352" s="44"/>
      <c r="I352" s="44"/>
      <c r="J352" s="44"/>
      <c r="K352" s="44" t="s">
        <v>231</v>
      </c>
      <c r="L352" s="44" t="s">
        <v>231</v>
      </c>
      <c r="M352" s="44" t="s">
        <v>231</v>
      </c>
      <c r="N352" s="36" t="s">
        <v>1537</v>
      </c>
      <c r="O352" s="36" t="s">
        <v>1717</v>
      </c>
      <c r="P352" s="45">
        <v>46073</v>
      </c>
      <c r="Q352" s="45">
        <v>46073</v>
      </c>
      <c r="R352" s="44">
        <v>2</v>
      </c>
      <c r="S352" s="46" t="s">
        <v>33</v>
      </c>
      <c r="T352" s="30" t="s">
        <v>234</v>
      </c>
      <c r="U352" s="223"/>
    </row>
    <row r="353" spans="1:21" s="40" customFormat="1" ht="39.950000000000003" customHeight="1" thickBot="1" x14ac:dyDescent="0.35">
      <c r="A353" s="30">
        <f t="array" ref="A353">IF(B353&lt;&gt;"",COUNTIF($B$19:B353,"&lt;&gt;"),"")</f>
        <v>295</v>
      </c>
      <c r="B353" s="41">
        <v>328</v>
      </c>
      <c r="C353" s="42" t="s">
        <v>34</v>
      </c>
      <c r="D353" s="43">
        <v>3462</v>
      </c>
      <c r="E353" s="42" t="s">
        <v>735</v>
      </c>
      <c r="F353" s="49" t="s">
        <v>724</v>
      </c>
      <c r="G353" s="36" t="s">
        <v>736</v>
      </c>
      <c r="H353" s="44"/>
      <c r="I353" s="44"/>
      <c r="J353" s="44"/>
      <c r="K353" s="44"/>
      <c r="L353" s="44"/>
      <c r="M353" s="44"/>
      <c r="N353" s="36"/>
      <c r="O353" s="36"/>
      <c r="P353" s="45"/>
      <c r="Q353" s="45"/>
      <c r="R353" s="44"/>
      <c r="S353" s="46" t="s">
        <v>37</v>
      </c>
      <c r="T353" s="30" t="str">
        <f>IFERROR(VLOOKUP(O353, '[1]CURSOS 2025'!A:B, 2, FALSE), "")</f>
        <v/>
      </c>
      <c r="U353" s="39">
        <f>SUM(R353:R353)</f>
        <v>0</v>
      </c>
    </row>
    <row r="354" spans="1:21" s="40" customFormat="1" ht="39.950000000000003" customHeight="1" thickBot="1" x14ac:dyDescent="0.35">
      <c r="A354" s="30">
        <f t="array" ref="A354">IF(B354&lt;&gt;"",COUNTIF($B$19:B354,"&lt;&gt;"),"")</f>
        <v>296</v>
      </c>
      <c r="B354" s="41">
        <v>328</v>
      </c>
      <c r="C354" s="42" t="s">
        <v>141</v>
      </c>
      <c r="D354" s="43">
        <v>3133</v>
      </c>
      <c r="E354" s="42" t="s">
        <v>737</v>
      </c>
      <c r="F354" s="49" t="s">
        <v>724</v>
      </c>
      <c r="G354" s="36" t="s">
        <v>738</v>
      </c>
      <c r="H354" s="44"/>
      <c r="I354" s="44"/>
      <c r="J354" s="44"/>
      <c r="K354" s="44"/>
      <c r="L354" s="44"/>
      <c r="M354" s="44"/>
      <c r="N354" s="36"/>
      <c r="O354" s="36"/>
      <c r="P354" s="45"/>
      <c r="Q354" s="45"/>
      <c r="R354" s="44"/>
      <c r="S354" s="46" t="s">
        <v>33</v>
      </c>
      <c r="T354" s="30" t="str">
        <f>IFERROR(VLOOKUP(O354, '[1]CURSOS 2025'!A:B, 2, FALSE), "")</f>
        <v/>
      </c>
      <c r="U354" s="39">
        <f>SUM(R354:R354)</f>
        <v>0</v>
      </c>
    </row>
    <row r="355" spans="1:21" s="40" customFormat="1" ht="39.75" customHeight="1" thickBot="1" x14ac:dyDescent="0.35">
      <c r="A355" s="30">
        <f t="array" ref="A355">IF(B355&lt;&gt;"",COUNTIF($B$19:B355,"&lt;&gt;"),"")</f>
        <v>297</v>
      </c>
      <c r="B355" s="41">
        <v>328</v>
      </c>
      <c r="C355" s="42" t="s">
        <v>726</v>
      </c>
      <c r="D355" s="43">
        <v>1977</v>
      </c>
      <c r="E355" s="42" t="s">
        <v>739</v>
      </c>
      <c r="F355" s="49" t="s">
        <v>724</v>
      </c>
      <c r="G355" s="36" t="s">
        <v>740</v>
      </c>
      <c r="H355" s="44"/>
      <c r="I355" s="44"/>
      <c r="J355" s="44"/>
      <c r="K355" s="44"/>
      <c r="L355" s="44"/>
      <c r="M355" s="44"/>
      <c r="N355" s="36"/>
      <c r="O355" s="36"/>
      <c r="P355" s="45"/>
      <c r="Q355" s="45"/>
      <c r="R355" s="44"/>
      <c r="S355" s="46" t="s">
        <v>33</v>
      </c>
      <c r="T355" s="30" t="str">
        <f>IFERROR(VLOOKUP(O355, '[1]CURSOS 2025'!A:B, 2, FALSE), "")</f>
        <v/>
      </c>
      <c r="U355" s="39">
        <f>SUM(R355:R355)</f>
        <v>0</v>
      </c>
    </row>
    <row r="356" spans="1:21" s="40" customFormat="1" ht="39.950000000000003" customHeight="1" thickBot="1" x14ac:dyDescent="0.35">
      <c r="A356" s="30">
        <f t="array" ref="A356">IF(B356&lt;&gt;"",COUNTIF($B$19:B356,"&lt;&gt;"),"")</f>
        <v>298</v>
      </c>
      <c r="B356" s="41">
        <v>328</v>
      </c>
      <c r="C356" s="42" t="s">
        <v>726</v>
      </c>
      <c r="D356" s="43">
        <v>1693</v>
      </c>
      <c r="E356" s="42" t="s">
        <v>741</v>
      </c>
      <c r="F356" s="49" t="s">
        <v>724</v>
      </c>
      <c r="G356" s="36" t="s">
        <v>742</v>
      </c>
      <c r="H356" s="44"/>
      <c r="I356" s="44"/>
      <c r="J356" s="44"/>
      <c r="K356" s="44"/>
      <c r="L356" s="44"/>
      <c r="M356" s="44"/>
      <c r="N356" s="36"/>
      <c r="O356" s="36"/>
      <c r="P356" s="45"/>
      <c r="Q356" s="45"/>
      <c r="R356" s="44"/>
      <c r="S356" s="46" t="s">
        <v>33</v>
      </c>
      <c r="T356" s="30" t="str">
        <f>IFERROR(VLOOKUP(O356, '[1]CURSOS 2025'!A:B, 2, FALSE), "")</f>
        <v/>
      </c>
      <c r="U356" s="39">
        <f t="shared" ref="U356:U371" si="50">SUM(R356:R356)</f>
        <v>0</v>
      </c>
    </row>
    <row r="357" spans="1:21" s="40" customFormat="1" ht="39.950000000000003" customHeight="1" thickBot="1" x14ac:dyDescent="0.35">
      <c r="A357" s="30">
        <f t="array" ref="A357">IF(B357&lt;&gt;"",COUNTIF($B$19:B357,"&lt;&gt;"),"")</f>
        <v>299</v>
      </c>
      <c r="B357" s="41">
        <v>328</v>
      </c>
      <c r="C357" s="42" t="s">
        <v>743</v>
      </c>
      <c r="D357" s="43">
        <v>20460</v>
      </c>
      <c r="E357" s="42" t="s">
        <v>744</v>
      </c>
      <c r="F357" s="49" t="s">
        <v>724</v>
      </c>
      <c r="G357" s="36" t="s">
        <v>745</v>
      </c>
      <c r="H357" s="44"/>
      <c r="I357" s="44"/>
      <c r="J357" s="44"/>
      <c r="K357" s="44" t="s">
        <v>231</v>
      </c>
      <c r="L357" s="44" t="s">
        <v>231</v>
      </c>
      <c r="M357" s="44" t="s">
        <v>231</v>
      </c>
      <c r="N357" s="36" t="s">
        <v>1537</v>
      </c>
      <c r="O357" s="36" t="s">
        <v>1713</v>
      </c>
      <c r="P357" s="45">
        <v>46069</v>
      </c>
      <c r="Q357" s="45">
        <v>46069</v>
      </c>
      <c r="R357" s="44">
        <v>2</v>
      </c>
      <c r="S357" s="46" t="s">
        <v>33</v>
      </c>
      <c r="T357" s="30" t="s">
        <v>234</v>
      </c>
      <c r="U357" s="221">
        <f>SUM(R357:R359)</f>
        <v>6</v>
      </c>
    </row>
    <row r="358" spans="1:21" s="40" customFormat="1" ht="39.950000000000003" customHeight="1" thickBot="1" x14ac:dyDescent="0.35">
      <c r="A358" s="30" t="str">
        <f t="array" ref="A358">IF(B358&lt;&gt;"",COUNTIF($B$19:B358,"&lt;&gt;"),"")</f>
        <v/>
      </c>
      <c r="B358" s="41"/>
      <c r="C358" s="42"/>
      <c r="D358" s="43"/>
      <c r="E358" s="42"/>
      <c r="F358" s="49"/>
      <c r="G358" s="36"/>
      <c r="H358" s="44"/>
      <c r="I358" s="44"/>
      <c r="J358" s="44"/>
      <c r="K358" s="44" t="s">
        <v>231</v>
      </c>
      <c r="L358" s="44" t="s">
        <v>231</v>
      </c>
      <c r="M358" s="44" t="s">
        <v>231</v>
      </c>
      <c r="N358" s="36" t="s">
        <v>1537</v>
      </c>
      <c r="O358" s="36" t="s">
        <v>1715</v>
      </c>
      <c r="P358" s="45">
        <v>46071</v>
      </c>
      <c r="Q358" s="45">
        <v>46071</v>
      </c>
      <c r="R358" s="44">
        <v>2</v>
      </c>
      <c r="S358" s="46" t="s">
        <v>33</v>
      </c>
      <c r="T358" s="30" t="s">
        <v>234</v>
      </c>
      <c r="U358" s="222"/>
    </row>
    <row r="359" spans="1:21" s="40" customFormat="1" ht="39.950000000000003" customHeight="1" thickBot="1" x14ac:dyDescent="0.35">
      <c r="A359" s="30" t="str">
        <f t="array" ref="A359">IF(B359&lt;&gt;"",COUNTIF($B$19:B359,"&lt;&gt;"),"")</f>
        <v/>
      </c>
      <c r="B359" s="41"/>
      <c r="C359" s="42"/>
      <c r="D359" s="43"/>
      <c r="E359" s="42"/>
      <c r="F359" s="49"/>
      <c r="G359" s="36"/>
      <c r="H359" s="44"/>
      <c r="I359" s="44"/>
      <c r="J359" s="44"/>
      <c r="K359" s="44" t="s">
        <v>231</v>
      </c>
      <c r="L359" s="44" t="s">
        <v>231</v>
      </c>
      <c r="M359" s="44" t="s">
        <v>231</v>
      </c>
      <c r="N359" s="36" t="s">
        <v>1537</v>
      </c>
      <c r="O359" s="36" t="s">
        <v>1716</v>
      </c>
      <c r="P359" s="45">
        <v>46071</v>
      </c>
      <c r="Q359" s="45">
        <v>46071</v>
      </c>
      <c r="R359" s="44">
        <v>2</v>
      </c>
      <c r="S359" s="46" t="s">
        <v>33</v>
      </c>
      <c r="T359" s="30" t="s">
        <v>234</v>
      </c>
      <c r="U359" s="223"/>
    </row>
    <row r="360" spans="1:21" s="40" customFormat="1" ht="30" customHeight="1" thickBot="1" x14ac:dyDescent="0.35">
      <c r="A360" s="30">
        <f t="array" ref="A360">IF(B360&lt;&gt;"",COUNTIF($B$19:B360,"&lt;&gt;"),"")</f>
        <v>300</v>
      </c>
      <c r="B360" s="41">
        <v>329</v>
      </c>
      <c r="C360" s="42" t="s">
        <v>726</v>
      </c>
      <c r="D360" s="43">
        <v>1510</v>
      </c>
      <c r="E360" s="42" t="s">
        <v>746</v>
      </c>
      <c r="F360" s="49" t="s">
        <v>724</v>
      </c>
      <c r="G360" s="36" t="s">
        <v>747</v>
      </c>
      <c r="H360" s="44"/>
      <c r="I360" s="44"/>
      <c r="J360" s="44"/>
      <c r="K360" s="44"/>
      <c r="L360" s="44"/>
      <c r="M360" s="44"/>
      <c r="N360" s="36"/>
      <c r="O360" s="36"/>
      <c r="P360" s="45"/>
      <c r="Q360" s="45"/>
      <c r="R360" s="44"/>
      <c r="S360" s="46" t="s">
        <v>33</v>
      </c>
      <c r="T360" s="30" t="str">
        <f>IFERROR(VLOOKUP(O360, '[1]CURSOS 2025'!A:B, 2, FALSE), "")</f>
        <v/>
      </c>
      <c r="U360" s="39">
        <f t="shared" si="50"/>
        <v>0</v>
      </c>
    </row>
    <row r="361" spans="1:21" s="40" customFormat="1" ht="30" customHeight="1" thickBot="1" x14ac:dyDescent="0.35">
      <c r="A361" s="30">
        <f t="array" ref="A361">IF(B361&lt;&gt;"",COUNTIF($B$19:B361,"&lt;&gt;"),"")</f>
        <v>301</v>
      </c>
      <c r="B361" s="41">
        <v>329</v>
      </c>
      <c r="C361" s="42" t="s">
        <v>141</v>
      </c>
      <c r="D361" s="43">
        <v>3363</v>
      </c>
      <c r="E361" s="42" t="s">
        <v>748</v>
      </c>
      <c r="F361" s="49" t="s">
        <v>724</v>
      </c>
      <c r="G361" s="36" t="s">
        <v>749</v>
      </c>
      <c r="H361" s="44"/>
      <c r="I361" s="44"/>
      <c r="J361" s="44"/>
      <c r="K361" s="44"/>
      <c r="L361" s="44"/>
      <c r="M361" s="44"/>
      <c r="N361" s="36"/>
      <c r="O361" s="36"/>
      <c r="P361" s="45"/>
      <c r="Q361" s="45"/>
      <c r="R361" s="44"/>
      <c r="S361" s="46" t="s">
        <v>33</v>
      </c>
      <c r="T361" s="30" t="str">
        <f>IFERROR(VLOOKUP(O361, '[1]CURSOS 2025'!A:B, 2, FALSE), "")</f>
        <v/>
      </c>
      <c r="U361" s="39">
        <f t="shared" si="50"/>
        <v>0</v>
      </c>
    </row>
    <row r="362" spans="1:21" s="40" customFormat="1" ht="30" customHeight="1" thickBot="1" x14ac:dyDescent="0.35">
      <c r="A362" s="30">
        <f t="array" ref="A362">IF(B362&lt;&gt;"",COUNTIF($B$19:B362,"&lt;&gt;"),"")</f>
        <v>302</v>
      </c>
      <c r="B362" s="41">
        <v>328</v>
      </c>
      <c r="C362" s="42" t="s">
        <v>141</v>
      </c>
      <c r="D362" s="43" t="s">
        <v>750</v>
      </c>
      <c r="E362" s="42" t="s">
        <v>751</v>
      </c>
      <c r="F362" s="49" t="s">
        <v>724</v>
      </c>
      <c r="G362" s="36" t="s">
        <v>752</v>
      </c>
      <c r="H362" s="44"/>
      <c r="I362" s="44"/>
      <c r="J362" s="44"/>
      <c r="K362" s="44"/>
      <c r="L362" s="44"/>
      <c r="M362" s="44"/>
      <c r="N362" s="36"/>
      <c r="O362" s="36"/>
      <c r="P362" s="45"/>
      <c r="Q362" s="45"/>
      <c r="R362" s="44"/>
      <c r="S362" s="46" t="s">
        <v>33</v>
      </c>
      <c r="T362" s="30" t="str">
        <f>IFERROR(VLOOKUP(O362, '[1]CURSOS 2025'!A:B, 2, FALSE), "")</f>
        <v/>
      </c>
      <c r="U362" s="39">
        <f t="shared" si="50"/>
        <v>0</v>
      </c>
    </row>
    <row r="363" spans="1:21" s="40" customFormat="1" ht="68.25" customHeight="1" thickBot="1" x14ac:dyDescent="0.35">
      <c r="A363" s="30">
        <f t="array" ref="A363">IF(B363&lt;&gt;"",COUNTIF($B$19:B363,"&lt;&gt;"),"")</f>
        <v>303</v>
      </c>
      <c r="B363" s="41">
        <v>328</v>
      </c>
      <c r="C363" s="42" t="s">
        <v>753</v>
      </c>
      <c r="D363" s="43">
        <v>6071</v>
      </c>
      <c r="E363" s="42" t="s">
        <v>754</v>
      </c>
      <c r="F363" s="49" t="s">
        <v>724</v>
      </c>
      <c r="G363" s="36" t="s">
        <v>755</v>
      </c>
      <c r="H363" s="44"/>
      <c r="I363" s="44"/>
      <c r="J363" s="44"/>
      <c r="K363" s="44" t="s">
        <v>231</v>
      </c>
      <c r="L363" s="44" t="s">
        <v>231</v>
      </c>
      <c r="M363" s="44" t="s">
        <v>231</v>
      </c>
      <c r="N363" s="36" t="s">
        <v>1537</v>
      </c>
      <c r="O363" s="36" t="s">
        <v>1712</v>
      </c>
      <c r="P363" s="45">
        <v>46069</v>
      </c>
      <c r="Q363" s="45">
        <v>46069</v>
      </c>
      <c r="R363" s="44">
        <v>2</v>
      </c>
      <c r="S363" s="46" t="s">
        <v>37</v>
      </c>
      <c r="T363" s="30" t="s">
        <v>234</v>
      </c>
      <c r="U363" s="224">
        <f>SUM(R363:R365)</f>
        <v>6</v>
      </c>
    </row>
    <row r="364" spans="1:21" s="40" customFormat="1" ht="68.25" customHeight="1" thickBot="1" x14ac:dyDescent="0.35">
      <c r="A364" s="30" t="str">
        <f t="array" ref="A364">IF(B364&lt;&gt;"",COUNTIF($B$19:B364,"&lt;&gt;"),"")</f>
        <v/>
      </c>
      <c r="B364" s="41"/>
      <c r="C364" s="42"/>
      <c r="D364" s="43"/>
      <c r="E364" s="42"/>
      <c r="F364" s="49"/>
      <c r="G364" s="36"/>
      <c r="H364" s="44"/>
      <c r="I364" s="44"/>
      <c r="J364" s="44"/>
      <c r="K364" s="44" t="s">
        <v>231</v>
      </c>
      <c r="L364" s="44" t="s">
        <v>231</v>
      </c>
      <c r="M364" s="44" t="s">
        <v>231</v>
      </c>
      <c r="N364" s="36" t="s">
        <v>1537</v>
      </c>
      <c r="O364" s="36" t="s">
        <v>1715</v>
      </c>
      <c r="P364" s="45">
        <v>46071</v>
      </c>
      <c r="Q364" s="45">
        <v>46071</v>
      </c>
      <c r="R364" s="44">
        <v>2</v>
      </c>
      <c r="S364" s="46" t="s">
        <v>37</v>
      </c>
      <c r="T364" s="30" t="s">
        <v>234</v>
      </c>
      <c r="U364" s="225"/>
    </row>
    <row r="365" spans="1:21" s="40" customFormat="1" ht="68.25" customHeight="1" thickBot="1" x14ac:dyDescent="0.35">
      <c r="A365" s="30" t="str">
        <f t="array" ref="A365">IF(B365&lt;&gt;"",COUNTIF($B$19:B365,"&lt;&gt;"),"")</f>
        <v/>
      </c>
      <c r="B365" s="41"/>
      <c r="C365" s="42"/>
      <c r="D365" s="43"/>
      <c r="E365" s="42"/>
      <c r="F365" s="49"/>
      <c r="G365" s="36"/>
      <c r="H365" s="44"/>
      <c r="I365" s="44"/>
      <c r="J365" s="44"/>
      <c r="K365" s="44" t="s">
        <v>231</v>
      </c>
      <c r="L365" s="44" t="s">
        <v>231</v>
      </c>
      <c r="M365" s="44" t="s">
        <v>231</v>
      </c>
      <c r="N365" s="36" t="s">
        <v>1537</v>
      </c>
      <c r="O365" s="36" t="s">
        <v>1716</v>
      </c>
      <c r="P365" s="45">
        <v>46071</v>
      </c>
      <c r="Q365" s="45">
        <v>46071</v>
      </c>
      <c r="R365" s="44">
        <v>2</v>
      </c>
      <c r="S365" s="46" t="s">
        <v>37</v>
      </c>
      <c r="T365" s="30" t="s">
        <v>234</v>
      </c>
      <c r="U365" s="226"/>
    </row>
    <row r="366" spans="1:21" s="40" customFormat="1" ht="39.950000000000003" customHeight="1" thickBot="1" x14ac:dyDescent="0.35">
      <c r="A366" s="30">
        <f t="array" ref="A366">IF(B366&lt;&gt;"",COUNTIF($B$19:B366,"&lt;&gt;"),"")</f>
        <v>304</v>
      </c>
      <c r="B366" s="41">
        <v>317</v>
      </c>
      <c r="C366" s="42" t="s">
        <v>756</v>
      </c>
      <c r="D366" s="43">
        <v>6013</v>
      </c>
      <c r="E366" s="42" t="s">
        <v>757</v>
      </c>
      <c r="F366" s="49" t="s">
        <v>724</v>
      </c>
      <c r="G366" s="36" t="s">
        <v>758</v>
      </c>
      <c r="H366" s="44"/>
      <c r="I366" s="44"/>
      <c r="J366" s="44"/>
      <c r="K366" s="44"/>
      <c r="L366" s="44"/>
      <c r="M366" s="44"/>
      <c r="N366" s="36"/>
      <c r="O366" s="36"/>
      <c r="P366" s="45"/>
      <c r="Q366" s="45"/>
      <c r="R366" s="44"/>
      <c r="S366" s="46" t="s">
        <v>37</v>
      </c>
      <c r="T366" s="30" t="str">
        <f>IFERROR(VLOOKUP(O366, '[1]CURSOS 2025'!A:B, 2, FALSE), "")</f>
        <v/>
      </c>
      <c r="U366" s="68">
        <f t="shared" si="50"/>
        <v>0</v>
      </c>
    </row>
    <row r="367" spans="1:21" s="40" customFormat="1" ht="39.950000000000003" customHeight="1" thickBot="1" x14ac:dyDescent="0.35">
      <c r="A367" s="30">
        <f t="array" ref="A367">IF(B367&lt;&gt;"",COUNTIF($B$19:B367,"&lt;&gt;"),"")</f>
        <v>305</v>
      </c>
      <c r="B367" s="41">
        <v>329</v>
      </c>
      <c r="C367" s="42" t="s">
        <v>45</v>
      </c>
      <c r="D367" s="43">
        <v>5795</v>
      </c>
      <c r="E367" s="42" t="s">
        <v>759</v>
      </c>
      <c r="F367" s="49" t="s">
        <v>724</v>
      </c>
      <c r="G367" s="36" t="s">
        <v>760</v>
      </c>
      <c r="H367" s="44"/>
      <c r="I367" s="44"/>
      <c r="J367" s="44"/>
      <c r="K367" s="44"/>
      <c r="L367" s="44"/>
      <c r="M367" s="44"/>
      <c r="N367" s="36"/>
      <c r="O367" s="36"/>
      <c r="P367" s="45"/>
      <c r="Q367" s="45"/>
      <c r="R367" s="44"/>
      <c r="S367" s="46" t="s">
        <v>37</v>
      </c>
      <c r="T367" s="30" t="str">
        <f>IFERROR(VLOOKUP(O367, '[1]CURSOS 2025'!A:B, 2, FALSE), "")</f>
        <v/>
      </c>
      <c r="U367" s="68">
        <f t="shared" si="50"/>
        <v>0</v>
      </c>
    </row>
    <row r="368" spans="1:21" s="40" customFormat="1" ht="39.950000000000003" customHeight="1" thickBot="1" x14ac:dyDescent="0.35">
      <c r="A368" s="30">
        <f t="array" ref="A368">IF(B368&lt;&gt;"",COUNTIF($B$19:B368,"&lt;&gt;"),"")</f>
        <v>306</v>
      </c>
      <c r="B368" s="41">
        <v>328</v>
      </c>
      <c r="C368" s="42" t="s">
        <v>761</v>
      </c>
      <c r="D368" s="43">
        <v>3960</v>
      </c>
      <c r="E368" s="42" t="s">
        <v>762</v>
      </c>
      <c r="F368" s="49" t="s">
        <v>724</v>
      </c>
      <c r="G368" s="36" t="s">
        <v>763</v>
      </c>
      <c r="H368" s="44"/>
      <c r="I368" s="44"/>
      <c r="J368" s="44"/>
      <c r="K368" s="44"/>
      <c r="L368" s="44"/>
      <c r="M368" s="44"/>
      <c r="N368" s="36"/>
      <c r="O368" s="36"/>
      <c r="P368" s="45"/>
      <c r="Q368" s="45"/>
      <c r="R368" s="44"/>
      <c r="S368" s="46" t="s">
        <v>37</v>
      </c>
      <c r="T368" s="30" t="str">
        <f>IFERROR(VLOOKUP(O368, '[1]CURSOS 2025'!A:B, 2, FALSE), "")</f>
        <v/>
      </c>
      <c r="U368" s="39">
        <f t="shared" si="50"/>
        <v>0</v>
      </c>
    </row>
    <row r="369" spans="1:21" s="40" customFormat="1" ht="39.950000000000003" customHeight="1" thickBot="1" x14ac:dyDescent="0.35">
      <c r="A369" s="30">
        <f t="array" ref="A369">IF(B369&lt;&gt;"",COUNTIF($B$19:B369,"&lt;&gt;"),"")</f>
        <v>307</v>
      </c>
      <c r="B369" s="41">
        <v>328</v>
      </c>
      <c r="C369" s="42" t="s">
        <v>530</v>
      </c>
      <c r="D369" s="43">
        <v>3946</v>
      </c>
      <c r="E369" s="42" t="s">
        <v>764</v>
      </c>
      <c r="F369" s="49" t="s">
        <v>724</v>
      </c>
      <c r="G369" s="36" t="s">
        <v>765</v>
      </c>
      <c r="H369" s="44"/>
      <c r="I369" s="44"/>
      <c r="J369" s="44"/>
      <c r="K369" s="44"/>
      <c r="L369" s="44"/>
      <c r="M369" s="44"/>
      <c r="N369" s="36"/>
      <c r="O369" s="36"/>
      <c r="P369" s="45"/>
      <c r="Q369" s="45"/>
      <c r="R369" s="44"/>
      <c r="S369" s="46" t="s">
        <v>33</v>
      </c>
      <c r="T369" s="30" t="str">
        <f>IFERROR(VLOOKUP(O369, '[1]CURSOS 2025'!A:B, 2, FALSE), "")</f>
        <v/>
      </c>
      <c r="U369" s="39">
        <f t="shared" si="50"/>
        <v>0</v>
      </c>
    </row>
    <row r="370" spans="1:21" s="40" customFormat="1" ht="39.950000000000003" customHeight="1" thickBot="1" x14ac:dyDescent="0.35">
      <c r="A370" s="30">
        <f t="array" ref="A370">IF(B370&lt;&gt;"",COUNTIF($B$19:B370,"&lt;&gt;"),"")</f>
        <v>308</v>
      </c>
      <c r="B370" s="41">
        <v>328</v>
      </c>
      <c r="C370" s="42" t="s">
        <v>530</v>
      </c>
      <c r="D370" s="43">
        <v>3897</v>
      </c>
      <c r="E370" s="42" t="s">
        <v>766</v>
      </c>
      <c r="F370" s="49" t="s">
        <v>724</v>
      </c>
      <c r="G370" s="36" t="s">
        <v>767</v>
      </c>
      <c r="H370" s="44"/>
      <c r="I370" s="44"/>
      <c r="J370" s="44"/>
      <c r="K370" s="44"/>
      <c r="L370" s="44"/>
      <c r="M370" s="44"/>
      <c r="N370" s="36"/>
      <c r="O370" s="36"/>
      <c r="P370" s="45"/>
      <c r="Q370" s="45"/>
      <c r="R370" s="44"/>
      <c r="S370" s="46" t="s">
        <v>33</v>
      </c>
      <c r="T370" s="30" t="str">
        <f>IFERROR(VLOOKUP(O370, '[1]CURSOS 2025'!A:B, 2, FALSE), "")</f>
        <v/>
      </c>
      <c r="U370" s="39">
        <f t="shared" si="50"/>
        <v>0</v>
      </c>
    </row>
    <row r="371" spans="1:21" s="40" customFormat="1" ht="39.950000000000003" customHeight="1" thickBot="1" x14ac:dyDescent="0.35">
      <c r="A371" s="30">
        <f t="array" ref="A371">IF(B371&lt;&gt;"",COUNTIF($B$19:B371,"&lt;&gt;"),"")</f>
        <v>309</v>
      </c>
      <c r="B371" s="41">
        <v>329</v>
      </c>
      <c r="C371" s="42" t="s">
        <v>697</v>
      </c>
      <c r="D371" s="43">
        <v>3938</v>
      </c>
      <c r="E371" s="42" t="s">
        <v>768</v>
      </c>
      <c r="F371" s="49" t="s">
        <v>724</v>
      </c>
      <c r="G371" s="36" t="s">
        <v>769</v>
      </c>
      <c r="H371" s="44"/>
      <c r="I371" s="44"/>
      <c r="J371" s="44"/>
      <c r="K371" s="44"/>
      <c r="L371" s="44"/>
      <c r="M371" s="44"/>
      <c r="N371" s="36"/>
      <c r="O371" s="36"/>
      <c r="P371" s="45"/>
      <c r="Q371" s="45"/>
      <c r="R371" s="44"/>
      <c r="S371" s="46" t="s">
        <v>33</v>
      </c>
      <c r="T371" s="30" t="str">
        <f>IFERROR(VLOOKUP(O371, '[1]CURSOS 2025'!A:B, 2, FALSE), "")</f>
        <v/>
      </c>
      <c r="U371" s="39">
        <f t="shared" si="50"/>
        <v>0</v>
      </c>
    </row>
    <row r="372" spans="1:21" s="40" customFormat="1" ht="39.950000000000003" customHeight="1" thickBot="1" x14ac:dyDescent="0.35">
      <c r="A372" s="30">
        <f t="array" ref="A372">IF(B372&lt;&gt;"",COUNTIF($B$19:B372,"&lt;&gt;"),"")</f>
        <v>310</v>
      </c>
      <c r="B372" s="41">
        <v>328</v>
      </c>
      <c r="C372" s="42" t="s">
        <v>770</v>
      </c>
      <c r="D372" s="43">
        <v>3947</v>
      </c>
      <c r="E372" s="42" t="s">
        <v>771</v>
      </c>
      <c r="F372" s="49" t="s">
        <v>724</v>
      </c>
      <c r="G372" s="36" t="s">
        <v>772</v>
      </c>
      <c r="H372" s="44"/>
      <c r="I372" s="44"/>
      <c r="J372" s="44"/>
      <c r="K372" s="44"/>
      <c r="L372" s="44"/>
      <c r="M372" s="44"/>
      <c r="N372" s="36"/>
      <c r="O372" s="36"/>
      <c r="P372" s="45"/>
      <c r="Q372" s="45"/>
      <c r="R372" s="44"/>
      <c r="S372" s="44" t="s">
        <v>33</v>
      </c>
      <c r="T372" s="30" t="str">
        <f>IFERROR(VLOOKUP(O372, '[1]CURSOS 2025'!A:B, 2, FALSE), "")</f>
        <v/>
      </c>
      <c r="U372" s="48">
        <f t="shared" ref="U372" si="51">SUM(R372)</f>
        <v>0</v>
      </c>
    </row>
    <row r="373" spans="1:21" s="40" customFormat="1" ht="39.950000000000003" customHeight="1" thickBot="1" x14ac:dyDescent="0.35">
      <c r="A373" s="30">
        <f t="array" ref="A373">IF(B373&lt;&gt;"",COUNTIF($B$19:B373,"&lt;&gt;"),"")</f>
        <v>311</v>
      </c>
      <c r="B373" s="41">
        <v>328</v>
      </c>
      <c r="C373" s="42" t="s">
        <v>697</v>
      </c>
      <c r="D373" s="43">
        <v>3930</v>
      </c>
      <c r="E373" s="42" t="s">
        <v>773</v>
      </c>
      <c r="F373" s="49" t="s">
        <v>724</v>
      </c>
      <c r="G373" s="36" t="s">
        <v>774</v>
      </c>
      <c r="H373" s="44"/>
      <c r="I373" s="44"/>
      <c r="J373" s="44"/>
      <c r="K373" s="44"/>
      <c r="L373" s="44"/>
      <c r="M373" s="44"/>
      <c r="N373" s="36"/>
      <c r="O373" s="36"/>
      <c r="P373" s="45"/>
      <c r="Q373" s="45"/>
      <c r="R373" s="44"/>
      <c r="S373" s="46" t="s">
        <v>33</v>
      </c>
      <c r="T373" s="30" t="str">
        <f>IFERROR(VLOOKUP(O373, '[1]CURSOS 2025'!A:B, 2, FALSE), "")</f>
        <v/>
      </c>
      <c r="U373" s="39">
        <f>SUM(R373:R373)</f>
        <v>0</v>
      </c>
    </row>
    <row r="374" spans="1:21" s="40" customFormat="1" ht="39.950000000000003" customHeight="1" thickBot="1" x14ac:dyDescent="0.35">
      <c r="A374" s="30">
        <f t="array" ref="A374">IF(B374&lt;&gt;"",COUNTIF($B$19:B374,"&lt;&gt;"),"")</f>
        <v>312</v>
      </c>
      <c r="B374" s="41">
        <v>328</v>
      </c>
      <c r="C374" s="42" t="s">
        <v>530</v>
      </c>
      <c r="D374" s="43">
        <v>3911</v>
      </c>
      <c r="E374" s="42" t="s">
        <v>775</v>
      </c>
      <c r="F374" s="49" t="s">
        <v>724</v>
      </c>
      <c r="G374" s="36" t="s">
        <v>776</v>
      </c>
      <c r="H374" s="44"/>
      <c r="I374" s="44"/>
      <c r="J374" s="44"/>
      <c r="K374" s="44"/>
      <c r="L374" s="44"/>
      <c r="M374" s="44"/>
      <c r="N374" s="36"/>
      <c r="O374" s="36"/>
      <c r="P374" s="45"/>
      <c r="Q374" s="45"/>
      <c r="R374" s="44"/>
      <c r="S374" s="46" t="s">
        <v>33</v>
      </c>
      <c r="T374" s="30" t="str">
        <f>IFERROR(VLOOKUP(O374, '[1]CURSOS 2025'!A:B, 2, FALSE), "")</f>
        <v/>
      </c>
      <c r="U374" s="39">
        <f>SUM(R374:R374)</f>
        <v>0</v>
      </c>
    </row>
    <row r="375" spans="1:21" s="40" customFormat="1" ht="39.950000000000003" customHeight="1" thickBot="1" x14ac:dyDescent="0.35">
      <c r="A375" s="30">
        <f t="array" ref="A375">IF(B375&lt;&gt;"",COUNTIF($B$19:B375,"&lt;&gt;"),"")</f>
        <v>313</v>
      </c>
      <c r="B375" s="41">
        <v>328</v>
      </c>
      <c r="C375" s="42" t="s">
        <v>530</v>
      </c>
      <c r="D375" s="43" t="s">
        <v>777</v>
      </c>
      <c r="E375" s="42" t="s">
        <v>778</v>
      </c>
      <c r="F375" s="49" t="s">
        <v>779</v>
      </c>
      <c r="G375" s="36" t="s">
        <v>780</v>
      </c>
      <c r="H375" s="44"/>
      <c r="I375" s="44"/>
      <c r="J375" s="44"/>
      <c r="K375" s="44"/>
      <c r="L375" s="44"/>
      <c r="M375" s="44"/>
      <c r="N375" s="36"/>
      <c r="O375" s="36"/>
      <c r="P375" s="45"/>
      <c r="Q375" s="45"/>
      <c r="R375" s="44"/>
      <c r="S375" s="46" t="s">
        <v>33</v>
      </c>
      <c r="T375" s="30" t="str">
        <f>IFERROR(VLOOKUP(O375, '[1]CURSOS 2025'!A:B, 2, FALSE), "")</f>
        <v/>
      </c>
      <c r="U375" s="39" t="e">
        <f>SUM(R375+#REF!)</f>
        <v>#REF!</v>
      </c>
    </row>
    <row r="376" spans="1:21" s="40" customFormat="1" ht="39.950000000000003" customHeight="1" thickBot="1" x14ac:dyDescent="0.35">
      <c r="A376" s="30">
        <f t="array" ref="A376">IF(B376&lt;&gt;"",COUNTIF($B$19:B376,"&lt;&gt;"),"")</f>
        <v>314</v>
      </c>
      <c r="B376" s="41">
        <v>329</v>
      </c>
      <c r="C376" s="42" t="s">
        <v>770</v>
      </c>
      <c r="D376" s="43">
        <v>3927</v>
      </c>
      <c r="E376" s="42" t="s">
        <v>781</v>
      </c>
      <c r="F376" s="49" t="s">
        <v>724</v>
      </c>
      <c r="G376" s="36" t="s">
        <v>782</v>
      </c>
      <c r="H376" s="44"/>
      <c r="I376" s="44"/>
      <c r="J376" s="44"/>
      <c r="K376" s="44"/>
      <c r="L376" s="44"/>
      <c r="M376" s="44"/>
      <c r="N376" s="36"/>
      <c r="O376" s="36"/>
      <c r="P376" s="45"/>
      <c r="Q376" s="45"/>
      <c r="R376" s="44"/>
      <c r="S376" s="44" t="s">
        <v>33</v>
      </c>
      <c r="T376" s="30" t="str">
        <f>IFERROR(VLOOKUP(O376, '[1]CURSOS 2025'!A:B, 2, FALSE), "")</f>
        <v/>
      </c>
      <c r="U376" s="48">
        <f t="shared" ref="U376:U377" si="52">SUM(R376)</f>
        <v>0</v>
      </c>
    </row>
    <row r="377" spans="1:21" s="40" customFormat="1" ht="39.950000000000003" customHeight="1" thickBot="1" x14ac:dyDescent="0.35">
      <c r="A377" s="30">
        <f t="array" ref="A377">IF(B377&lt;&gt;"",COUNTIF($B$19:B377,"&lt;&gt;"),"")</f>
        <v>315</v>
      </c>
      <c r="B377" s="41">
        <v>329</v>
      </c>
      <c r="C377" s="42" t="s">
        <v>697</v>
      </c>
      <c r="D377" s="43">
        <v>3937</v>
      </c>
      <c r="E377" s="42" t="s">
        <v>783</v>
      </c>
      <c r="F377" s="49" t="s">
        <v>724</v>
      </c>
      <c r="G377" s="36" t="s">
        <v>784</v>
      </c>
      <c r="H377" s="44"/>
      <c r="I377" s="44"/>
      <c r="J377" s="44"/>
      <c r="K377" s="44"/>
      <c r="L377" s="44"/>
      <c r="M377" s="44"/>
      <c r="N377" s="36"/>
      <c r="O377" s="36"/>
      <c r="P377" s="45"/>
      <c r="Q377" s="45"/>
      <c r="R377" s="44"/>
      <c r="S377" s="44" t="s">
        <v>33</v>
      </c>
      <c r="T377" s="30" t="str">
        <f>IFERROR(VLOOKUP(O377, '[1]CURSOS 2025'!A:B, 2, FALSE), "")</f>
        <v/>
      </c>
      <c r="U377" s="48">
        <f t="shared" si="52"/>
        <v>0</v>
      </c>
    </row>
    <row r="378" spans="1:21" s="40" customFormat="1" ht="39.950000000000003" customHeight="1" thickBot="1" x14ac:dyDescent="0.35">
      <c r="A378" s="30">
        <f t="array" ref="A378">IF(B378&lt;&gt;"",COUNTIF($B$19:B378,"&lt;&gt;"),"")</f>
        <v>316</v>
      </c>
      <c r="B378" s="41">
        <v>328</v>
      </c>
      <c r="C378" s="42" t="s">
        <v>530</v>
      </c>
      <c r="D378" s="43">
        <v>3951</v>
      </c>
      <c r="E378" s="42" t="s">
        <v>785</v>
      </c>
      <c r="F378" s="49" t="s">
        <v>724</v>
      </c>
      <c r="G378" s="36" t="s">
        <v>786</v>
      </c>
      <c r="H378" s="44"/>
      <c r="I378" s="44"/>
      <c r="J378" s="44"/>
      <c r="K378" s="44"/>
      <c r="L378" s="44"/>
      <c r="M378" s="44"/>
      <c r="N378" s="36"/>
      <c r="O378" s="36"/>
      <c r="P378" s="45"/>
      <c r="Q378" s="45"/>
      <c r="R378" s="44"/>
      <c r="S378" s="46" t="s">
        <v>33</v>
      </c>
      <c r="T378" s="30" t="str">
        <f>IFERROR(VLOOKUP(O378, '[1]CURSOS 2025'!A:B, 2, FALSE), "")</f>
        <v/>
      </c>
      <c r="U378" s="39">
        <f>SUM(R378:R378)</f>
        <v>0</v>
      </c>
    </row>
    <row r="379" spans="1:21" s="40" customFormat="1" ht="39.950000000000003" customHeight="1" thickBot="1" x14ac:dyDescent="0.35">
      <c r="A379" s="30">
        <f t="array" ref="A379">IF(B379&lt;&gt;"",COUNTIF($B$19:B379,"&lt;&gt;"),"")</f>
        <v>317</v>
      </c>
      <c r="B379" s="41">
        <v>329</v>
      </c>
      <c r="C379" s="42" t="s">
        <v>697</v>
      </c>
      <c r="D379" s="43">
        <v>3919</v>
      </c>
      <c r="E379" s="42" t="s">
        <v>787</v>
      </c>
      <c r="F379" s="49" t="s">
        <v>724</v>
      </c>
      <c r="G379" s="36" t="s">
        <v>788</v>
      </c>
      <c r="H379" s="44"/>
      <c r="I379" s="44"/>
      <c r="J379" s="44"/>
      <c r="K379" s="44"/>
      <c r="L379" s="44"/>
      <c r="M379" s="44"/>
      <c r="N379" s="36"/>
      <c r="O379" s="36"/>
      <c r="P379" s="45"/>
      <c r="Q379" s="45"/>
      <c r="R379" s="44"/>
      <c r="S379" s="44" t="s">
        <v>33</v>
      </c>
      <c r="T379" s="30" t="str">
        <f>IFERROR(VLOOKUP(O379, '[1]CURSOS 2025'!A:B, 2, FALSE), "")</f>
        <v/>
      </c>
      <c r="U379" s="48">
        <f t="shared" ref="U379" si="53">SUM(R379)</f>
        <v>0</v>
      </c>
    </row>
    <row r="380" spans="1:21" s="40" customFormat="1" ht="39.950000000000003" customHeight="1" thickBot="1" x14ac:dyDescent="0.35">
      <c r="A380" s="30">
        <f t="array" ref="A380">IF(B380&lt;&gt;"",COUNTIF($B$19:B380,"&lt;&gt;"),"")</f>
        <v>318</v>
      </c>
      <c r="B380" s="41">
        <v>329</v>
      </c>
      <c r="C380" s="42" t="s">
        <v>697</v>
      </c>
      <c r="D380" s="43">
        <v>3934</v>
      </c>
      <c r="E380" s="42" t="s">
        <v>789</v>
      </c>
      <c r="F380" s="49" t="s">
        <v>724</v>
      </c>
      <c r="G380" s="36" t="s">
        <v>790</v>
      </c>
      <c r="H380" s="44"/>
      <c r="I380" s="44"/>
      <c r="J380" s="44"/>
      <c r="K380" s="44"/>
      <c r="L380" s="44"/>
      <c r="M380" s="44"/>
      <c r="N380" s="36"/>
      <c r="O380" s="36"/>
      <c r="P380" s="45"/>
      <c r="Q380" s="45"/>
      <c r="R380" s="44"/>
      <c r="S380" s="46" t="s">
        <v>33</v>
      </c>
      <c r="T380" s="30" t="str">
        <f>IFERROR(VLOOKUP(O380, '[1]CURSOS 2025'!A:B, 2, FALSE), "")</f>
        <v/>
      </c>
      <c r="U380" s="39">
        <f>SUM(R380:R380)</f>
        <v>0</v>
      </c>
    </row>
    <row r="381" spans="1:21" s="40" customFormat="1" ht="39.950000000000003" customHeight="1" thickBot="1" x14ac:dyDescent="0.35">
      <c r="A381" s="30">
        <f t="array" ref="A381">IF(B381&lt;&gt;"",COUNTIF($B$19:B381,"&lt;&gt;"),"")</f>
        <v>319</v>
      </c>
      <c r="B381" s="41">
        <v>328</v>
      </c>
      <c r="C381" s="42" t="s">
        <v>770</v>
      </c>
      <c r="D381" s="43">
        <v>3957</v>
      </c>
      <c r="E381" s="42" t="s">
        <v>791</v>
      </c>
      <c r="F381" s="49" t="s">
        <v>724</v>
      </c>
      <c r="G381" s="36" t="s">
        <v>792</v>
      </c>
      <c r="H381" s="44"/>
      <c r="I381" s="44"/>
      <c r="J381" s="44"/>
      <c r="K381" s="44"/>
      <c r="L381" s="44"/>
      <c r="M381" s="44"/>
      <c r="N381" s="36"/>
      <c r="O381" s="36"/>
      <c r="P381" s="45"/>
      <c r="Q381" s="45"/>
      <c r="R381" s="44"/>
      <c r="S381" s="44" t="s">
        <v>33</v>
      </c>
      <c r="T381" s="30" t="str">
        <f>IFERROR(VLOOKUP(O381, '[1]CURSOS 2025'!A:B, 2, FALSE), "")</f>
        <v/>
      </c>
      <c r="U381" s="48">
        <f t="shared" ref="U381:U382" si="54">SUM(R381)</f>
        <v>0</v>
      </c>
    </row>
    <row r="382" spans="1:21" s="40" customFormat="1" ht="39.950000000000003" customHeight="1" thickBot="1" x14ac:dyDescent="0.35">
      <c r="A382" s="30">
        <f t="array" ref="A382">IF(B382&lt;&gt;"",COUNTIF($B$19:B382,"&lt;&gt;"),"")</f>
        <v>320</v>
      </c>
      <c r="B382" s="41">
        <v>328</v>
      </c>
      <c r="C382" s="42" t="s">
        <v>530</v>
      </c>
      <c r="D382" s="43" t="s">
        <v>793</v>
      </c>
      <c r="E382" s="42" t="s">
        <v>794</v>
      </c>
      <c r="F382" s="49" t="s">
        <v>724</v>
      </c>
      <c r="G382" s="36" t="s">
        <v>795</v>
      </c>
      <c r="H382" s="44"/>
      <c r="I382" s="44"/>
      <c r="J382" s="44"/>
      <c r="K382" s="44"/>
      <c r="L382" s="44"/>
      <c r="M382" s="44"/>
      <c r="N382" s="36"/>
      <c r="O382" s="36"/>
      <c r="P382" s="45"/>
      <c r="Q382" s="45"/>
      <c r="R382" s="44"/>
      <c r="S382" s="44" t="s">
        <v>33</v>
      </c>
      <c r="T382" s="30" t="str">
        <f>IFERROR(VLOOKUP(O382, '[1]CURSOS 2025'!A:B, 2, FALSE), "")</f>
        <v/>
      </c>
      <c r="U382" s="48">
        <f t="shared" si="54"/>
        <v>0</v>
      </c>
    </row>
    <row r="383" spans="1:21" s="40" customFormat="1" ht="39.950000000000003" customHeight="1" thickBot="1" x14ac:dyDescent="0.35">
      <c r="A383" s="30">
        <f t="array" ref="A383">IF(B383&lt;&gt;"",COUNTIF($B$19:B383,"&lt;&gt;"),"")</f>
        <v>321</v>
      </c>
      <c r="B383" s="41">
        <v>328</v>
      </c>
      <c r="C383" s="42" t="s">
        <v>530</v>
      </c>
      <c r="D383" s="43" t="s">
        <v>796</v>
      </c>
      <c r="E383" s="42" t="s">
        <v>797</v>
      </c>
      <c r="F383" s="49" t="s">
        <v>779</v>
      </c>
      <c r="G383" s="36" t="s">
        <v>798</v>
      </c>
      <c r="H383" s="44"/>
      <c r="I383" s="44"/>
      <c r="J383" s="44"/>
      <c r="K383" s="44"/>
      <c r="L383" s="44"/>
      <c r="M383" s="44"/>
      <c r="N383" s="36"/>
      <c r="O383" s="36"/>
      <c r="P383" s="45"/>
      <c r="Q383" s="45"/>
      <c r="R383" s="44"/>
      <c r="S383" s="46" t="s">
        <v>33</v>
      </c>
      <c r="T383" s="30" t="str">
        <f>IFERROR(VLOOKUP(O383, '[1]CURSOS 2025'!A:B, 2, FALSE), "")</f>
        <v/>
      </c>
      <c r="U383" s="39">
        <f>SUM(R383:R383)</f>
        <v>0</v>
      </c>
    </row>
    <row r="384" spans="1:21" s="40" customFormat="1" ht="39.950000000000003" customHeight="1" thickBot="1" x14ac:dyDescent="0.35">
      <c r="A384" s="30">
        <f t="array" ref="A384">IF(B384&lt;&gt;"",COUNTIF($B$19:B384,"&lt;&gt;"),"")</f>
        <v>322</v>
      </c>
      <c r="B384" s="41">
        <v>328</v>
      </c>
      <c r="C384" s="42" t="s">
        <v>530</v>
      </c>
      <c r="D384" s="43" t="s">
        <v>799</v>
      </c>
      <c r="E384" s="42" t="s">
        <v>800</v>
      </c>
      <c r="F384" s="49" t="s">
        <v>779</v>
      </c>
      <c r="G384" s="36" t="s">
        <v>801</v>
      </c>
      <c r="H384" s="44"/>
      <c r="I384" s="44"/>
      <c r="J384" s="44"/>
      <c r="K384" s="44"/>
      <c r="L384" s="44"/>
      <c r="M384" s="44"/>
      <c r="N384" s="36"/>
      <c r="O384" s="36"/>
      <c r="P384" s="45"/>
      <c r="Q384" s="45"/>
      <c r="R384" s="44"/>
      <c r="S384" s="46" t="s">
        <v>33</v>
      </c>
      <c r="T384" s="30" t="str">
        <f>IFERROR(VLOOKUP(O384, '[1]CURSOS 2025'!A:B, 2, FALSE), "")</f>
        <v/>
      </c>
      <c r="U384" s="39">
        <f>SUM(R384:R384)</f>
        <v>0</v>
      </c>
    </row>
    <row r="385" spans="1:21" s="40" customFormat="1" ht="39.950000000000003" customHeight="1" thickBot="1" x14ac:dyDescent="0.35">
      <c r="A385" s="30">
        <f t="array" ref="A385">IF(B385&lt;&gt;"",COUNTIF($B$19:B385,"&lt;&gt;"),"")</f>
        <v>323</v>
      </c>
      <c r="B385" s="41">
        <v>328</v>
      </c>
      <c r="C385" s="42" t="s">
        <v>530</v>
      </c>
      <c r="D385" s="43" t="s">
        <v>802</v>
      </c>
      <c r="E385" s="42" t="s">
        <v>803</v>
      </c>
      <c r="F385" s="49" t="s">
        <v>779</v>
      </c>
      <c r="G385" s="36" t="s">
        <v>804</v>
      </c>
      <c r="H385" s="44"/>
      <c r="I385" s="44"/>
      <c r="J385" s="44"/>
      <c r="K385" s="44"/>
      <c r="L385" s="44"/>
      <c r="M385" s="44"/>
      <c r="N385" s="36"/>
      <c r="O385" s="36"/>
      <c r="P385" s="45"/>
      <c r="Q385" s="45"/>
      <c r="R385" s="44"/>
      <c r="S385" s="46" t="s">
        <v>33</v>
      </c>
      <c r="T385" s="30" t="str">
        <f>IFERROR(VLOOKUP(O385, '[1]CURSOS 2025'!A:B, 2, FALSE), "")</f>
        <v/>
      </c>
      <c r="U385" s="39">
        <f>SUM(R385:R385)</f>
        <v>0</v>
      </c>
    </row>
    <row r="386" spans="1:21" s="40" customFormat="1" ht="39.950000000000003" customHeight="1" thickBot="1" x14ac:dyDescent="0.35">
      <c r="A386" s="30">
        <f t="array" ref="A386">IF(B386&lt;&gt;"",COUNTIF($B$19:B386,"&lt;&gt;"),"")</f>
        <v>324</v>
      </c>
      <c r="B386" s="41">
        <v>328</v>
      </c>
      <c r="C386" s="42" t="s">
        <v>530</v>
      </c>
      <c r="D386" s="43" t="s">
        <v>805</v>
      </c>
      <c r="E386" s="42" t="s">
        <v>806</v>
      </c>
      <c r="F386" s="49" t="s">
        <v>779</v>
      </c>
      <c r="G386" s="36" t="s">
        <v>807</v>
      </c>
      <c r="H386" s="44"/>
      <c r="I386" s="44"/>
      <c r="J386" s="44"/>
      <c r="K386" s="44"/>
      <c r="L386" s="44"/>
      <c r="M386" s="44"/>
      <c r="N386" s="36"/>
      <c r="O386" s="36"/>
      <c r="P386" s="45"/>
      <c r="Q386" s="45"/>
      <c r="R386" s="44"/>
      <c r="S386" s="46" t="s">
        <v>33</v>
      </c>
      <c r="T386" s="30" t="str">
        <f>IFERROR(VLOOKUP(O386, '[1]CURSOS 2025'!A:B, 2, FALSE), "")</f>
        <v/>
      </c>
      <c r="U386" s="39">
        <f>SUM(R386:R386)</f>
        <v>0</v>
      </c>
    </row>
    <row r="387" spans="1:21" s="40" customFormat="1" ht="39.950000000000003" customHeight="1" thickBot="1" x14ac:dyDescent="0.35">
      <c r="A387" s="30">
        <f t="array" ref="A387">IF(B387&lt;&gt;"",COUNTIF($B$19:B387,"&lt;&gt;"),"")</f>
        <v>325</v>
      </c>
      <c r="B387" s="41">
        <v>328</v>
      </c>
      <c r="C387" s="42" t="s">
        <v>530</v>
      </c>
      <c r="D387" s="43" t="s">
        <v>808</v>
      </c>
      <c r="E387" s="42" t="s">
        <v>809</v>
      </c>
      <c r="F387" s="49" t="s">
        <v>779</v>
      </c>
      <c r="G387" s="36" t="s">
        <v>810</v>
      </c>
      <c r="H387" s="44"/>
      <c r="I387" s="44"/>
      <c r="J387" s="44"/>
      <c r="K387" s="44"/>
      <c r="L387" s="44"/>
      <c r="M387" s="44"/>
      <c r="N387" s="36"/>
      <c r="O387" s="36"/>
      <c r="P387" s="45"/>
      <c r="Q387" s="45"/>
      <c r="R387" s="44"/>
      <c r="S387" s="44" t="s">
        <v>33</v>
      </c>
      <c r="T387" s="30" t="str">
        <f>IFERROR(VLOOKUP(O387, '[1]CURSOS 2025'!A:B, 2, FALSE), "")</f>
        <v/>
      </c>
      <c r="U387" s="48">
        <f t="shared" ref="U387" si="55">SUM(R387)</f>
        <v>0</v>
      </c>
    </row>
    <row r="388" spans="1:21" s="40" customFormat="1" ht="39.950000000000003" customHeight="1" thickBot="1" x14ac:dyDescent="0.45">
      <c r="A388" s="30">
        <f t="array" ref="A388">IF(B388&lt;&gt;"",COUNTIF($B$19:B388,"&lt;&gt;"),"")</f>
        <v>326</v>
      </c>
      <c r="B388" s="41">
        <v>328</v>
      </c>
      <c r="C388" s="42" t="s">
        <v>530</v>
      </c>
      <c r="D388" s="43" t="s">
        <v>811</v>
      </c>
      <c r="E388" s="42" t="s">
        <v>812</v>
      </c>
      <c r="F388" s="49" t="s">
        <v>779</v>
      </c>
      <c r="G388" s="60" t="s">
        <v>813</v>
      </c>
      <c r="H388" s="44"/>
      <c r="I388" s="44"/>
      <c r="J388" s="44"/>
      <c r="K388" s="44"/>
      <c r="L388" s="44"/>
      <c r="M388" s="44"/>
      <c r="N388" s="36"/>
      <c r="O388" s="36"/>
      <c r="P388" s="45"/>
      <c r="Q388" s="45"/>
      <c r="R388" s="44"/>
      <c r="S388" s="46" t="s">
        <v>33</v>
      </c>
      <c r="T388" s="30" t="str">
        <f>IFERROR(VLOOKUP(O388, '[1]CURSOS 2025'!A:B, 2, FALSE), "")</f>
        <v/>
      </c>
      <c r="U388" s="39">
        <f>SUM(R388:R388)</f>
        <v>0</v>
      </c>
    </row>
    <row r="389" spans="1:21" s="40" customFormat="1" ht="39.950000000000003" customHeight="1" thickBot="1" x14ac:dyDescent="0.35">
      <c r="A389" s="30">
        <f t="array" ref="A389">IF(B389&lt;&gt;"",COUNTIF($B$19:B389,"&lt;&gt;"),"")</f>
        <v>327</v>
      </c>
      <c r="B389" s="41">
        <v>328</v>
      </c>
      <c r="C389" s="42" t="s">
        <v>697</v>
      </c>
      <c r="D389" s="43">
        <v>3846</v>
      </c>
      <c r="E389" s="42" t="s">
        <v>814</v>
      </c>
      <c r="F389" s="49" t="s">
        <v>724</v>
      </c>
      <c r="G389" s="36" t="s">
        <v>815</v>
      </c>
      <c r="H389" s="44"/>
      <c r="I389" s="44"/>
      <c r="J389" s="44"/>
      <c r="K389" s="44"/>
      <c r="L389" s="44"/>
      <c r="M389" s="44"/>
      <c r="N389" s="36"/>
      <c r="O389" s="36"/>
      <c r="P389" s="45"/>
      <c r="Q389" s="45"/>
      <c r="R389" s="44"/>
      <c r="S389" s="46" t="s">
        <v>33</v>
      </c>
      <c r="T389" s="30" t="str">
        <f>IFERROR(VLOOKUP(O389, '[1]CURSOS 2025'!A:B, 2, FALSE), "")</f>
        <v/>
      </c>
      <c r="U389" s="39">
        <f>SUM(R389:R389)</f>
        <v>0</v>
      </c>
    </row>
    <row r="390" spans="1:21" s="40" customFormat="1" ht="39.950000000000003" customHeight="1" thickBot="1" x14ac:dyDescent="0.35">
      <c r="A390" s="30">
        <f t="array" ref="A390">IF(B390&lt;&gt;"",COUNTIF($B$19:B390,"&lt;&gt;"),"")</f>
        <v>328</v>
      </c>
      <c r="B390" s="41">
        <v>328</v>
      </c>
      <c r="C390" s="42" t="s">
        <v>816</v>
      </c>
      <c r="D390" s="43">
        <v>3871</v>
      </c>
      <c r="E390" s="42" t="s">
        <v>817</v>
      </c>
      <c r="F390" s="49" t="s">
        <v>724</v>
      </c>
      <c r="G390" s="36" t="s">
        <v>818</v>
      </c>
      <c r="H390" s="44"/>
      <c r="I390" s="44"/>
      <c r="J390" s="44"/>
      <c r="K390" s="44"/>
      <c r="L390" s="44"/>
      <c r="M390" s="44"/>
      <c r="N390" s="36"/>
      <c r="O390" s="36"/>
      <c r="P390" s="45"/>
      <c r="Q390" s="45"/>
      <c r="R390" s="44"/>
      <c r="S390" s="46" t="s">
        <v>33</v>
      </c>
      <c r="T390" s="30" t="str">
        <f>IFERROR(VLOOKUP(O390, '[1]CURSOS 2025'!A:B, 2, FALSE), "")</f>
        <v/>
      </c>
      <c r="U390" s="39">
        <f>SUM(R390:R390)</f>
        <v>0</v>
      </c>
    </row>
    <row r="391" spans="1:21" s="40" customFormat="1" ht="39.950000000000003" customHeight="1" thickBot="1" x14ac:dyDescent="0.35">
      <c r="A391" s="30">
        <f t="array" ref="A391">IF(B391&lt;&gt;"",COUNTIF($B$19:B391,"&lt;&gt;"),"")</f>
        <v>329</v>
      </c>
      <c r="B391" s="41">
        <v>328</v>
      </c>
      <c r="C391" s="42" t="s">
        <v>816</v>
      </c>
      <c r="D391" s="43">
        <v>3863</v>
      </c>
      <c r="E391" s="42" t="s">
        <v>819</v>
      </c>
      <c r="F391" s="49" t="s">
        <v>724</v>
      </c>
      <c r="G391" s="36" t="s">
        <v>820</v>
      </c>
      <c r="H391" s="44"/>
      <c r="I391" s="44"/>
      <c r="J391" s="44"/>
      <c r="K391" s="44"/>
      <c r="L391" s="44"/>
      <c r="M391" s="44"/>
      <c r="N391" s="36"/>
      <c r="O391" s="36"/>
      <c r="P391" s="45"/>
      <c r="Q391" s="45"/>
      <c r="R391" s="44"/>
      <c r="S391" s="46" t="s">
        <v>33</v>
      </c>
      <c r="T391" s="30" t="str">
        <f>IFERROR(VLOOKUP(O391, '[1]CURSOS 2025'!A:B, 2, FALSE), "")</f>
        <v/>
      </c>
      <c r="U391" s="39">
        <f>SUM(R391:R391)</f>
        <v>0</v>
      </c>
    </row>
    <row r="392" spans="1:21" s="40" customFormat="1" ht="39.950000000000003" customHeight="1" thickBot="1" x14ac:dyDescent="0.35">
      <c r="A392" s="30">
        <f t="array" ref="A392">IF(B392&lt;&gt;"",COUNTIF($B$19:B392,"&lt;&gt;"),"")</f>
        <v>330</v>
      </c>
      <c r="B392" s="41">
        <v>328</v>
      </c>
      <c r="C392" s="42" t="s">
        <v>816</v>
      </c>
      <c r="D392" s="43">
        <v>3858</v>
      </c>
      <c r="E392" s="42" t="s">
        <v>821</v>
      </c>
      <c r="F392" s="49" t="s">
        <v>724</v>
      </c>
      <c r="G392" s="36" t="s">
        <v>822</v>
      </c>
      <c r="H392" s="44"/>
      <c r="I392" s="44"/>
      <c r="J392" s="44"/>
      <c r="K392" s="44"/>
      <c r="L392" s="44"/>
      <c r="M392" s="44"/>
      <c r="N392" s="36"/>
      <c r="O392" s="36"/>
      <c r="P392" s="45"/>
      <c r="Q392" s="45"/>
      <c r="R392" s="44"/>
      <c r="S392" s="46" t="s">
        <v>33</v>
      </c>
      <c r="T392" s="30" t="str">
        <f>IFERROR(VLOOKUP(O392, '[1]CURSOS 2025'!A:B, 2, FALSE), "")</f>
        <v/>
      </c>
      <c r="U392" s="39">
        <f t="shared" ref="U392" si="56">SUM(R392)</f>
        <v>0</v>
      </c>
    </row>
    <row r="393" spans="1:21" s="40" customFormat="1" ht="39.950000000000003" customHeight="1" thickBot="1" x14ac:dyDescent="0.35">
      <c r="A393" s="30">
        <f t="array" ref="A393">IF(B393&lt;&gt;"",COUNTIF($B$19:B393,"&lt;&gt;"),"")</f>
        <v>331</v>
      </c>
      <c r="B393" s="41">
        <v>328</v>
      </c>
      <c r="C393" s="42" t="s">
        <v>816</v>
      </c>
      <c r="D393" s="43">
        <v>3857</v>
      </c>
      <c r="E393" s="42" t="s">
        <v>823</v>
      </c>
      <c r="F393" s="49" t="s">
        <v>724</v>
      </c>
      <c r="G393" s="36" t="s">
        <v>824</v>
      </c>
      <c r="H393" s="44"/>
      <c r="I393" s="44"/>
      <c r="J393" s="44"/>
      <c r="K393" s="44"/>
      <c r="L393" s="44"/>
      <c r="M393" s="44"/>
      <c r="N393" s="36"/>
      <c r="O393" s="36"/>
      <c r="P393" s="45"/>
      <c r="Q393" s="45"/>
      <c r="R393" s="44"/>
      <c r="S393" s="46" t="s">
        <v>33</v>
      </c>
      <c r="T393" s="30" t="str">
        <f>IFERROR(VLOOKUP(O393, '[1]CURSOS 2025'!A:B, 2, FALSE), "")</f>
        <v/>
      </c>
      <c r="U393" s="39">
        <f>SUM(R393:R393)</f>
        <v>0</v>
      </c>
    </row>
    <row r="394" spans="1:21" s="40" customFormat="1" ht="39.950000000000003" customHeight="1" thickBot="1" x14ac:dyDescent="0.35">
      <c r="A394" s="30">
        <f t="array" ref="A394">IF(B394&lt;&gt;"",COUNTIF($B$19:B394,"&lt;&gt;"),"")</f>
        <v>332</v>
      </c>
      <c r="B394" s="41">
        <v>329</v>
      </c>
      <c r="C394" s="42" t="s">
        <v>816</v>
      </c>
      <c r="D394" s="43">
        <v>3839</v>
      </c>
      <c r="E394" s="42" t="s">
        <v>825</v>
      </c>
      <c r="F394" s="49" t="s">
        <v>724</v>
      </c>
      <c r="G394" s="36" t="s">
        <v>826</v>
      </c>
      <c r="H394" s="44"/>
      <c r="I394" s="44"/>
      <c r="J394" s="44"/>
      <c r="K394" s="44"/>
      <c r="L394" s="44"/>
      <c r="M394" s="44"/>
      <c r="N394" s="36"/>
      <c r="O394" s="36"/>
      <c r="P394" s="45"/>
      <c r="Q394" s="45"/>
      <c r="R394" s="44"/>
      <c r="S394" s="44" t="s">
        <v>33</v>
      </c>
      <c r="T394" s="30" t="str">
        <f>IFERROR(VLOOKUP(O394, '[1]CURSOS 2025'!A:B, 2, FALSE), "")</f>
        <v/>
      </c>
      <c r="U394" s="48">
        <f t="shared" ref="U394" si="57">SUM(R394)</f>
        <v>0</v>
      </c>
    </row>
    <row r="395" spans="1:21" s="40" customFormat="1" ht="39.950000000000003" customHeight="1" thickBot="1" x14ac:dyDescent="0.35">
      <c r="A395" s="30">
        <f t="array" ref="A395">IF(B395&lt;&gt;"",COUNTIF($B$19:B395,"&lt;&gt;"),"")</f>
        <v>333</v>
      </c>
      <c r="B395" s="41">
        <v>328</v>
      </c>
      <c r="C395" s="42" t="s">
        <v>816</v>
      </c>
      <c r="D395" s="43">
        <v>3851</v>
      </c>
      <c r="E395" s="42" t="s">
        <v>827</v>
      </c>
      <c r="F395" s="49" t="s">
        <v>724</v>
      </c>
      <c r="G395" s="36" t="s">
        <v>828</v>
      </c>
      <c r="H395" s="44"/>
      <c r="I395" s="44"/>
      <c r="J395" s="44"/>
      <c r="K395" s="44"/>
      <c r="L395" s="44"/>
      <c r="M395" s="44"/>
      <c r="N395" s="36"/>
      <c r="O395" s="36"/>
      <c r="P395" s="45"/>
      <c r="Q395" s="45"/>
      <c r="R395" s="44"/>
      <c r="S395" s="46" t="s">
        <v>33</v>
      </c>
      <c r="T395" s="30" t="str">
        <f>IFERROR(VLOOKUP(O395, '[1]CURSOS 2025'!A:B, 2, FALSE), "")</f>
        <v/>
      </c>
      <c r="U395" s="39">
        <f t="shared" ref="U395:U400" si="58">SUM(R395:R395)</f>
        <v>0</v>
      </c>
    </row>
    <row r="396" spans="1:21" s="40" customFormat="1" ht="39.950000000000003" customHeight="1" thickBot="1" x14ac:dyDescent="0.35">
      <c r="A396" s="30">
        <f t="array" ref="A396">IF(B396&lt;&gt;"",COUNTIF($B$19:B396,"&lt;&gt;"),"")</f>
        <v>334</v>
      </c>
      <c r="B396" s="41">
        <v>329</v>
      </c>
      <c r="C396" s="42" t="s">
        <v>697</v>
      </c>
      <c r="D396" s="43">
        <v>3901</v>
      </c>
      <c r="E396" s="42" t="s">
        <v>829</v>
      </c>
      <c r="F396" s="49" t="s">
        <v>724</v>
      </c>
      <c r="G396" s="36" t="s">
        <v>830</v>
      </c>
      <c r="H396" s="44"/>
      <c r="I396" s="44"/>
      <c r="J396" s="44"/>
      <c r="K396" s="44"/>
      <c r="L396" s="44"/>
      <c r="M396" s="44"/>
      <c r="N396" s="36"/>
      <c r="O396" s="36"/>
      <c r="P396" s="45"/>
      <c r="Q396" s="45"/>
      <c r="R396" s="44"/>
      <c r="S396" s="46" t="s">
        <v>33</v>
      </c>
      <c r="T396" s="30" t="str">
        <f>IFERROR(VLOOKUP(O396, '[1]CURSOS 2025'!A:B, 2, FALSE), "")</f>
        <v/>
      </c>
      <c r="U396" s="39">
        <f t="shared" si="58"/>
        <v>0</v>
      </c>
    </row>
    <row r="397" spans="1:21" s="40" customFormat="1" ht="39.950000000000003" customHeight="1" thickBot="1" x14ac:dyDescent="0.35">
      <c r="A397" s="30">
        <f t="array" ref="A397">IF(B397&lt;&gt;"",COUNTIF($B$19:B397,"&lt;&gt;"),"")</f>
        <v>335</v>
      </c>
      <c r="B397" s="41">
        <v>329</v>
      </c>
      <c r="C397" s="42" t="s">
        <v>697</v>
      </c>
      <c r="D397" s="43">
        <v>3913</v>
      </c>
      <c r="E397" s="42" t="s">
        <v>831</v>
      </c>
      <c r="F397" s="49" t="s">
        <v>724</v>
      </c>
      <c r="G397" s="36" t="s">
        <v>832</v>
      </c>
      <c r="H397" s="44"/>
      <c r="I397" s="44"/>
      <c r="J397" s="44"/>
      <c r="K397" s="44"/>
      <c r="L397" s="44"/>
      <c r="M397" s="44"/>
      <c r="N397" s="36"/>
      <c r="O397" s="36"/>
      <c r="P397" s="45"/>
      <c r="Q397" s="45"/>
      <c r="R397" s="44"/>
      <c r="S397" s="46" t="s">
        <v>33</v>
      </c>
      <c r="T397" s="30" t="str">
        <f>IFERROR(VLOOKUP(O397, '[1]CURSOS 2025'!A:B, 2, FALSE), "")</f>
        <v/>
      </c>
      <c r="U397" s="39">
        <f t="shared" si="58"/>
        <v>0</v>
      </c>
    </row>
    <row r="398" spans="1:21" s="40" customFormat="1" ht="39.950000000000003" customHeight="1" thickBot="1" x14ac:dyDescent="0.35">
      <c r="A398" s="30">
        <f t="array" ref="A398">IF(B398&lt;&gt;"",COUNTIF($B$19:B398,"&lt;&gt;"),"")</f>
        <v>336</v>
      </c>
      <c r="B398" s="41">
        <v>329</v>
      </c>
      <c r="C398" s="42" t="s">
        <v>816</v>
      </c>
      <c r="D398" s="43">
        <v>3845</v>
      </c>
      <c r="E398" s="42" t="s">
        <v>833</v>
      </c>
      <c r="F398" s="49" t="s">
        <v>724</v>
      </c>
      <c r="G398" s="36" t="s">
        <v>834</v>
      </c>
      <c r="H398" s="44"/>
      <c r="I398" s="44"/>
      <c r="J398" s="44"/>
      <c r="K398" s="44"/>
      <c r="L398" s="44"/>
      <c r="M398" s="44"/>
      <c r="N398" s="36"/>
      <c r="O398" s="36"/>
      <c r="P398" s="45"/>
      <c r="Q398" s="45"/>
      <c r="R398" s="44"/>
      <c r="S398" s="46" t="s">
        <v>33</v>
      </c>
      <c r="T398" s="30" t="str">
        <f>IFERROR(VLOOKUP(O398, '[1]CURSOS 2025'!A:B, 2, FALSE), "")</f>
        <v/>
      </c>
      <c r="U398" s="39">
        <f t="shared" si="58"/>
        <v>0</v>
      </c>
    </row>
    <row r="399" spans="1:21" s="40" customFormat="1" ht="39.950000000000003" customHeight="1" thickBot="1" x14ac:dyDescent="0.35">
      <c r="A399" s="30">
        <f t="array" ref="A399">IF(B399&lt;&gt;"",COUNTIF($B$19:B399,"&lt;&gt;"),"")</f>
        <v>337</v>
      </c>
      <c r="B399" s="41">
        <v>329</v>
      </c>
      <c r="C399" s="42" t="s">
        <v>835</v>
      </c>
      <c r="D399" s="43">
        <v>3753</v>
      </c>
      <c r="E399" s="42" t="s">
        <v>836</v>
      </c>
      <c r="F399" s="49" t="s">
        <v>724</v>
      </c>
      <c r="G399" s="36" t="s">
        <v>837</v>
      </c>
      <c r="H399" s="44"/>
      <c r="I399" s="44"/>
      <c r="J399" s="44"/>
      <c r="K399" s="44"/>
      <c r="L399" s="44"/>
      <c r="M399" s="44"/>
      <c r="N399" s="36"/>
      <c r="O399" s="36"/>
      <c r="P399" s="45"/>
      <c r="Q399" s="45"/>
      <c r="R399" s="44"/>
      <c r="S399" s="46" t="s">
        <v>33</v>
      </c>
      <c r="T399" s="30" t="str">
        <f>IFERROR(VLOOKUP(O399, '[1]CURSOS 2025'!A:B, 2, FALSE), "")</f>
        <v/>
      </c>
      <c r="U399" s="39">
        <f t="shared" si="58"/>
        <v>0</v>
      </c>
    </row>
    <row r="400" spans="1:21" s="40" customFormat="1" ht="39.950000000000003" customHeight="1" thickBot="1" x14ac:dyDescent="0.35">
      <c r="A400" s="30">
        <f t="array" ref="A400">IF(B400&lt;&gt;"",COUNTIF($B$19:B400,"&lt;&gt;"),"")</f>
        <v>338</v>
      </c>
      <c r="B400" s="41">
        <v>328</v>
      </c>
      <c r="C400" s="42" t="s">
        <v>770</v>
      </c>
      <c r="D400" s="43">
        <v>3923</v>
      </c>
      <c r="E400" s="42" t="s">
        <v>838</v>
      </c>
      <c r="F400" s="49" t="s">
        <v>724</v>
      </c>
      <c r="G400" s="36" t="s">
        <v>839</v>
      </c>
      <c r="H400" s="44"/>
      <c r="I400" s="44"/>
      <c r="J400" s="44"/>
      <c r="K400" s="44"/>
      <c r="L400" s="44"/>
      <c r="M400" s="44"/>
      <c r="N400" s="36"/>
      <c r="O400" s="36"/>
      <c r="P400" s="45"/>
      <c r="Q400" s="45"/>
      <c r="R400" s="44"/>
      <c r="S400" s="46" t="s">
        <v>33</v>
      </c>
      <c r="T400" s="30" t="str">
        <f>IFERROR(VLOOKUP(O400, '[1]CURSOS 2025'!A:B, 2, FALSE), "")</f>
        <v/>
      </c>
      <c r="U400" s="39">
        <f t="shared" si="58"/>
        <v>0</v>
      </c>
    </row>
    <row r="401" spans="1:21" s="40" customFormat="1" ht="39.950000000000003" customHeight="1" thickBot="1" x14ac:dyDescent="0.35">
      <c r="A401" s="30">
        <f t="array" ref="A401">IF(B401&lt;&gt;"",COUNTIF($B$19:B401,"&lt;&gt;"),"")</f>
        <v>339</v>
      </c>
      <c r="B401" s="41">
        <v>329</v>
      </c>
      <c r="C401" s="42" t="s">
        <v>697</v>
      </c>
      <c r="D401" s="43">
        <v>3739</v>
      </c>
      <c r="E401" s="42" t="s">
        <v>840</v>
      </c>
      <c r="F401" s="49" t="s">
        <v>724</v>
      </c>
      <c r="G401" s="36" t="s">
        <v>841</v>
      </c>
      <c r="H401" s="44"/>
      <c r="I401" s="44"/>
      <c r="J401" s="44"/>
      <c r="K401" s="44"/>
      <c r="L401" s="44"/>
      <c r="M401" s="44"/>
      <c r="N401" s="36"/>
      <c r="O401" s="36"/>
      <c r="P401" s="45"/>
      <c r="Q401" s="45"/>
      <c r="R401" s="44"/>
      <c r="S401" s="44" t="s">
        <v>33</v>
      </c>
      <c r="T401" s="30" t="str">
        <f>IFERROR(VLOOKUP(O401, '[1]CURSOS 2025'!A:B, 2, FALSE), "")</f>
        <v/>
      </c>
      <c r="U401" s="48">
        <f t="shared" ref="U401" si="59">SUM(R401)</f>
        <v>0</v>
      </c>
    </row>
    <row r="402" spans="1:21" s="40" customFormat="1" ht="39.950000000000003" customHeight="1" thickBot="1" x14ac:dyDescent="0.35">
      <c r="A402" s="30">
        <f t="array" ref="A402">IF(B402&lt;&gt;"",COUNTIF($B$19:B402,"&lt;&gt;"),"")</f>
        <v>340</v>
      </c>
      <c r="B402" s="41">
        <v>329</v>
      </c>
      <c r="C402" s="42" t="s">
        <v>697</v>
      </c>
      <c r="D402" s="43">
        <v>3806</v>
      </c>
      <c r="E402" s="42" t="s">
        <v>842</v>
      </c>
      <c r="F402" s="49" t="s">
        <v>724</v>
      </c>
      <c r="G402" s="36" t="s">
        <v>843</v>
      </c>
      <c r="H402" s="44"/>
      <c r="I402" s="44"/>
      <c r="J402" s="44"/>
      <c r="K402" s="44"/>
      <c r="L402" s="44"/>
      <c r="M402" s="44"/>
      <c r="N402" s="36"/>
      <c r="O402" s="36"/>
      <c r="P402" s="45"/>
      <c r="Q402" s="45"/>
      <c r="R402" s="44"/>
      <c r="S402" s="46" t="s">
        <v>33</v>
      </c>
      <c r="T402" s="30" t="str">
        <f>IFERROR(VLOOKUP(O402, '[1]CURSOS 2025'!A:B, 2, FALSE), "")</f>
        <v/>
      </c>
      <c r="U402" s="39">
        <f>SUM(R402:R402)</f>
        <v>0</v>
      </c>
    </row>
    <row r="403" spans="1:21" s="40" customFormat="1" ht="39.950000000000003" customHeight="1" thickBot="1" x14ac:dyDescent="0.35">
      <c r="A403" s="30">
        <f t="array" ref="A403">IF(B403&lt;&gt;"",COUNTIF($B$19:B403,"&lt;&gt;"),"")</f>
        <v>341</v>
      </c>
      <c r="B403" s="41">
        <v>328</v>
      </c>
      <c r="C403" s="42" t="s">
        <v>697</v>
      </c>
      <c r="D403" s="43">
        <v>3803</v>
      </c>
      <c r="E403" s="42" t="s">
        <v>844</v>
      </c>
      <c r="F403" s="49" t="s">
        <v>724</v>
      </c>
      <c r="G403" s="36" t="s">
        <v>845</v>
      </c>
      <c r="H403" s="44"/>
      <c r="I403" s="44"/>
      <c r="J403" s="44"/>
      <c r="K403" s="44"/>
      <c r="L403" s="44"/>
      <c r="M403" s="44"/>
      <c r="N403" s="36"/>
      <c r="O403" s="36"/>
      <c r="P403" s="45"/>
      <c r="Q403" s="45"/>
      <c r="R403" s="44"/>
      <c r="S403" s="46" t="s">
        <v>33</v>
      </c>
      <c r="T403" s="30" t="str">
        <f>IFERROR(VLOOKUP(O403, '[1]CURSOS 2025'!A:B, 2, FALSE), "")</f>
        <v/>
      </c>
      <c r="U403" s="39">
        <f>SUM(R403:R403)</f>
        <v>0</v>
      </c>
    </row>
    <row r="404" spans="1:21" s="40" customFormat="1" ht="39.950000000000003" customHeight="1" thickBot="1" x14ac:dyDescent="0.35">
      <c r="A404" s="30">
        <f t="array" ref="A404">IF(B404&lt;&gt;"",COUNTIF($B$19:B404,"&lt;&gt;"),"")</f>
        <v>342</v>
      </c>
      <c r="B404" s="41">
        <v>329</v>
      </c>
      <c r="C404" s="42" t="s">
        <v>697</v>
      </c>
      <c r="D404" s="43">
        <v>3914</v>
      </c>
      <c r="E404" s="42" t="s">
        <v>846</v>
      </c>
      <c r="F404" s="49" t="s">
        <v>724</v>
      </c>
      <c r="G404" s="36" t="s">
        <v>847</v>
      </c>
      <c r="H404" s="44"/>
      <c r="I404" s="44"/>
      <c r="J404" s="44"/>
      <c r="K404" s="44"/>
      <c r="L404" s="44"/>
      <c r="M404" s="44"/>
      <c r="N404" s="36"/>
      <c r="O404" s="36"/>
      <c r="P404" s="45"/>
      <c r="Q404" s="45"/>
      <c r="R404" s="44"/>
      <c r="S404" s="46" t="s">
        <v>33</v>
      </c>
      <c r="T404" s="30" t="str">
        <f>IFERROR(VLOOKUP(O404, '[1]CURSOS 2025'!A:B, 2, FALSE), "")</f>
        <v/>
      </c>
      <c r="U404" s="39">
        <f>SUM(R404:R404)</f>
        <v>0</v>
      </c>
    </row>
    <row r="405" spans="1:21" s="40" customFormat="1" ht="39.950000000000003" customHeight="1" thickBot="1" x14ac:dyDescent="0.35">
      <c r="A405" s="30">
        <f t="array" ref="A405">IF(B405&lt;&gt;"",COUNTIF($B$19:B405,"&lt;&gt;"),"")</f>
        <v>343</v>
      </c>
      <c r="B405" s="41">
        <v>329</v>
      </c>
      <c r="C405" s="42" t="s">
        <v>835</v>
      </c>
      <c r="D405" s="43">
        <v>3822</v>
      </c>
      <c r="E405" s="42" t="s">
        <v>848</v>
      </c>
      <c r="F405" s="49" t="s">
        <v>724</v>
      </c>
      <c r="G405" s="36" t="s">
        <v>849</v>
      </c>
      <c r="H405" s="44"/>
      <c r="I405" s="44"/>
      <c r="J405" s="44"/>
      <c r="K405" s="44"/>
      <c r="L405" s="44"/>
      <c r="M405" s="44"/>
      <c r="N405" s="36"/>
      <c r="O405" s="36"/>
      <c r="P405" s="45"/>
      <c r="Q405" s="45"/>
      <c r="R405" s="44"/>
      <c r="S405" s="46" t="s">
        <v>33</v>
      </c>
      <c r="T405" s="30" t="str">
        <f>IFERROR(VLOOKUP(O405, '[1]CURSOS 2025'!A:B, 2, FALSE), "")</f>
        <v/>
      </c>
      <c r="U405" s="39">
        <f>SUM(R405:R405)</f>
        <v>0</v>
      </c>
    </row>
    <row r="406" spans="1:21" s="40" customFormat="1" ht="39.950000000000003" customHeight="1" thickBot="1" x14ac:dyDescent="0.35">
      <c r="A406" s="30">
        <f t="array" ref="A406">IF(B406&lt;&gt;"",COUNTIF($B$19:B406,"&lt;&gt;"),"")</f>
        <v>344</v>
      </c>
      <c r="B406" s="41">
        <v>329</v>
      </c>
      <c r="C406" s="42" t="s">
        <v>697</v>
      </c>
      <c r="D406" s="43">
        <v>3880</v>
      </c>
      <c r="E406" s="42" t="s">
        <v>850</v>
      </c>
      <c r="F406" s="49" t="s">
        <v>724</v>
      </c>
      <c r="G406" s="36" t="s">
        <v>851</v>
      </c>
      <c r="H406" s="44"/>
      <c r="I406" s="44"/>
      <c r="J406" s="44"/>
      <c r="K406" s="44"/>
      <c r="L406" s="44"/>
      <c r="M406" s="44"/>
      <c r="N406" s="36"/>
      <c r="O406" s="36"/>
      <c r="P406" s="45"/>
      <c r="Q406" s="45"/>
      <c r="R406" s="44"/>
      <c r="S406" s="46" t="s">
        <v>33</v>
      </c>
      <c r="T406" s="30" t="str">
        <f>IFERROR(VLOOKUP(O406, '[1]CURSOS 2025'!A:B, 2, FALSE), "")</f>
        <v/>
      </c>
      <c r="U406" s="39">
        <f>SUM(R406:R406)</f>
        <v>0</v>
      </c>
    </row>
    <row r="407" spans="1:21" s="40" customFormat="1" ht="39.950000000000003" customHeight="1" thickBot="1" x14ac:dyDescent="0.35">
      <c r="A407" s="30">
        <f t="array" ref="A407">IF(B407&lt;&gt;"",COUNTIF($B$19:B407,"&lt;&gt;"),"")</f>
        <v>345</v>
      </c>
      <c r="B407" s="41">
        <v>329</v>
      </c>
      <c r="C407" s="42" t="s">
        <v>697</v>
      </c>
      <c r="D407" s="43">
        <v>3854</v>
      </c>
      <c r="E407" s="42" t="s">
        <v>852</v>
      </c>
      <c r="F407" s="49" t="s">
        <v>724</v>
      </c>
      <c r="G407" s="36" t="s">
        <v>853</v>
      </c>
      <c r="H407" s="44"/>
      <c r="I407" s="44"/>
      <c r="J407" s="44"/>
      <c r="K407" s="44"/>
      <c r="L407" s="44"/>
      <c r="M407" s="44"/>
      <c r="N407" s="36"/>
      <c r="O407" s="36"/>
      <c r="P407" s="45"/>
      <c r="Q407" s="45"/>
      <c r="R407" s="44"/>
      <c r="S407" s="44" t="s">
        <v>33</v>
      </c>
      <c r="T407" s="30" t="str">
        <f>IFERROR(VLOOKUP(O407, '[1]CURSOS 2025'!A:B, 2, FALSE), "")</f>
        <v/>
      </c>
      <c r="U407" s="48">
        <f t="shared" ref="U407:U408" si="60">SUM(R407)</f>
        <v>0</v>
      </c>
    </row>
    <row r="408" spans="1:21" s="40" customFormat="1" ht="39.950000000000003" customHeight="1" thickBot="1" x14ac:dyDescent="0.35">
      <c r="A408" s="30">
        <f t="array" ref="A408">IF(B408&lt;&gt;"",COUNTIF($B$19:B408,"&lt;&gt;"),"")</f>
        <v>346</v>
      </c>
      <c r="B408" s="41">
        <v>328</v>
      </c>
      <c r="C408" s="42" t="s">
        <v>553</v>
      </c>
      <c r="D408" s="43">
        <v>3849</v>
      </c>
      <c r="E408" s="42" t="s">
        <v>854</v>
      </c>
      <c r="F408" s="49" t="s">
        <v>779</v>
      </c>
      <c r="G408" s="36" t="s">
        <v>855</v>
      </c>
      <c r="H408" s="44"/>
      <c r="I408" s="44"/>
      <c r="J408" s="44"/>
      <c r="K408" s="44"/>
      <c r="L408" s="44"/>
      <c r="M408" s="44"/>
      <c r="N408" s="36"/>
      <c r="O408" s="36"/>
      <c r="P408" s="45"/>
      <c r="Q408" s="45"/>
      <c r="R408" s="44"/>
      <c r="S408" s="44" t="s">
        <v>33</v>
      </c>
      <c r="T408" s="30" t="str">
        <f>IFERROR(VLOOKUP(O408, '[1]CURSOS 2025'!A:B, 2, FALSE), "")</f>
        <v/>
      </c>
      <c r="U408" s="48">
        <f t="shared" si="60"/>
        <v>0</v>
      </c>
    </row>
    <row r="409" spans="1:21" s="40" customFormat="1" ht="39.950000000000003" customHeight="1" thickBot="1" x14ac:dyDescent="0.35">
      <c r="A409" s="30">
        <f t="array" ref="A409">IF(B409&lt;&gt;"",COUNTIF($B$19:B409,"&lt;&gt;"),"")</f>
        <v>347</v>
      </c>
      <c r="B409" s="41">
        <v>329</v>
      </c>
      <c r="C409" s="42" t="s">
        <v>770</v>
      </c>
      <c r="D409" s="43">
        <v>3921</v>
      </c>
      <c r="E409" s="42" t="s">
        <v>856</v>
      </c>
      <c r="F409" s="49" t="s">
        <v>724</v>
      </c>
      <c r="G409" s="36" t="s">
        <v>857</v>
      </c>
      <c r="H409" s="44"/>
      <c r="I409" s="44"/>
      <c r="J409" s="44"/>
      <c r="K409" s="44"/>
      <c r="L409" s="44"/>
      <c r="M409" s="44"/>
      <c r="N409" s="36"/>
      <c r="O409" s="36"/>
      <c r="P409" s="45"/>
      <c r="Q409" s="45"/>
      <c r="R409" s="44"/>
      <c r="S409" s="46" t="s">
        <v>33</v>
      </c>
      <c r="T409" s="30" t="str">
        <f>IFERROR(VLOOKUP(O409, '[1]CURSOS 2025'!A:B, 2, FALSE), "")</f>
        <v/>
      </c>
      <c r="U409" s="39">
        <f>SUM(R409:R409)</f>
        <v>0</v>
      </c>
    </row>
    <row r="410" spans="1:21" s="40" customFormat="1" ht="39.950000000000003" customHeight="1" thickBot="1" x14ac:dyDescent="0.35">
      <c r="A410" s="30">
        <f t="array" ref="A410">IF(B410&lt;&gt;"",COUNTIF($B$19:B410,"&lt;&gt;"),"")</f>
        <v>348</v>
      </c>
      <c r="B410" s="41">
        <v>329</v>
      </c>
      <c r="C410" s="42" t="s">
        <v>858</v>
      </c>
      <c r="D410" s="43">
        <v>3725</v>
      </c>
      <c r="E410" s="42" t="s">
        <v>859</v>
      </c>
      <c r="F410" s="49" t="s">
        <v>779</v>
      </c>
      <c r="G410" s="36" t="s">
        <v>860</v>
      </c>
      <c r="H410" s="44"/>
      <c r="I410" s="44"/>
      <c r="J410" s="44"/>
      <c r="K410" s="44"/>
      <c r="L410" s="44"/>
      <c r="M410" s="44"/>
      <c r="N410" s="36"/>
      <c r="O410" s="36"/>
      <c r="P410" s="45"/>
      <c r="Q410" s="45"/>
      <c r="R410" s="44"/>
      <c r="S410" s="46" t="s">
        <v>33</v>
      </c>
      <c r="T410" s="30" t="str">
        <f>IFERROR(VLOOKUP(O410, '[1]CURSOS 2025'!A:B, 2, FALSE), "")</f>
        <v/>
      </c>
      <c r="U410" s="39">
        <f>SUM(R410:R410)</f>
        <v>0</v>
      </c>
    </row>
    <row r="411" spans="1:21" s="40" customFormat="1" ht="39.950000000000003" customHeight="1" thickBot="1" x14ac:dyDescent="0.35">
      <c r="A411" s="30">
        <f t="array" ref="A411">IF(B411&lt;&gt;"",COUNTIF($B$19:B411,"&lt;&gt;"),"")</f>
        <v>349</v>
      </c>
      <c r="B411" s="41">
        <v>329</v>
      </c>
      <c r="C411" s="42" t="s">
        <v>861</v>
      </c>
      <c r="D411" s="43">
        <v>3788</v>
      </c>
      <c r="E411" s="42" t="s">
        <v>862</v>
      </c>
      <c r="F411" s="49" t="s">
        <v>779</v>
      </c>
      <c r="G411" s="36" t="s">
        <v>863</v>
      </c>
      <c r="H411" s="44"/>
      <c r="I411" s="44"/>
      <c r="J411" s="44"/>
      <c r="K411" s="44"/>
      <c r="L411" s="44"/>
      <c r="M411" s="44"/>
      <c r="N411" s="36"/>
      <c r="O411" s="36"/>
      <c r="P411" s="45"/>
      <c r="Q411" s="45"/>
      <c r="R411" s="44"/>
      <c r="S411" s="46" t="s">
        <v>33</v>
      </c>
      <c r="T411" s="30" t="str">
        <f>IFERROR(VLOOKUP(O411, '[1]CURSOS 2025'!A:B, 2, FALSE), "")</f>
        <v/>
      </c>
      <c r="U411" s="39">
        <f>SUM(R411:R411)</f>
        <v>0</v>
      </c>
    </row>
    <row r="412" spans="1:21" s="40" customFormat="1" ht="39.950000000000003" customHeight="1" thickBot="1" x14ac:dyDescent="0.35">
      <c r="A412" s="30">
        <f t="array" ref="A412">IF(B412&lt;&gt;"",COUNTIF($B$19:B412,"&lt;&gt;"),"")</f>
        <v>350</v>
      </c>
      <c r="B412" s="41">
        <v>329</v>
      </c>
      <c r="C412" s="42" t="s">
        <v>864</v>
      </c>
      <c r="D412" s="43">
        <v>3903</v>
      </c>
      <c r="E412" s="42" t="s">
        <v>865</v>
      </c>
      <c r="F412" s="49" t="s">
        <v>779</v>
      </c>
      <c r="G412" s="36" t="s">
        <v>866</v>
      </c>
      <c r="H412" s="44"/>
      <c r="I412" s="44"/>
      <c r="J412" s="44"/>
      <c r="K412" s="44"/>
      <c r="L412" s="44"/>
      <c r="M412" s="44"/>
      <c r="N412" s="36"/>
      <c r="O412" s="36"/>
      <c r="P412" s="45"/>
      <c r="Q412" s="45"/>
      <c r="R412" s="44"/>
      <c r="S412" s="70" t="s">
        <v>33</v>
      </c>
      <c r="T412" s="30" t="str">
        <f>IFERROR(VLOOKUP(O412, '[1]CURSOS 2025'!A:B, 2, FALSE), "")</f>
        <v/>
      </c>
      <c r="U412" s="71">
        <f>SUM(R412:R412)</f>
        <v>0</v>
      </c>
    </row>
    <row r="413" spans="1:21" s="40" customFormat="1" ht="39.950000000000003" customHeight="1" thickBot="1" x14ac:dyDescent="0.35">
      <c r="A413" s="30">
        <f t="array" ref="A413">IF(B413&lt;&gt;"",COUNTIF($B$19:B413,"&lt;&gt;"),"")</f>
        <v>351</v>
      </c>
      <c r="B413" s="41">
        <v>329</v>
      </c>
      <c r="C413" s="42" t="s">
        <v>770</v>
      </c>
      <c r="D413" s="43">
        <v>3714</v>
      </c>
      <c r="E413" s="42" t="s">
        <v>867</v>
      </c>
      <c r="F413" s="49" t="s">
        <v>724</v>
      </c>
      <c r="G413" s="36" t="s">
        <v>868</v>
      </c>
      <c r="H413" s="44"/>
      <c r="I413" s="44"/>
      <c r="J413" s="44"/>
      <c r="K413" s="44"/>
      <c r="L413" s="44"/>
      <c r="M413" s="44"/>
      <c r="N413" s="36"/>
      <c r="O413" s="36"/>
      <c r="P413" s="45"/>
      <c r="Q413" s="45"/>
      <c r="R413" s="44"/>
      <c r="S413" s="44" t="s">
        <v>33</v>
      </c>
      <c r="T413" s="30" t="str">
        <f>IFERROR(VLOOKUP(O413, '[1]CURSOS 2025'!A:B, 2, FALSE), "")</f>
        <v/>
      </c>
      <c r="U413" s="48">
        <f t="shared" ref="U413" si="61">SUM(R413)</f>
        <v>0</v>
      </c>
    </row>
    <row r="414" spans="1:21" s="40" customFormat="1" ht="39.950000000000003" customHeight="1" thickBot="1" x14ac:dyDescent="0.35">
      <c r="A414" s="30">
        <f t="array" ref="A414">IF(B414&lt;&gt;"",COUNTIF($B$19:B414,"&lt;&gt;"),"")</f>
        <v>352</v>
      </c>
      <c r="B414" s="41">
        <v>329</v>
      </c>
      <c r="C414" s="42" t="s">
        <v>864</v>
      </c>
      <c r="D414" s="43">
        <v>3912</v>
      </c>
      <c r="E414" s="42" t="s">
        <v>869</v>
      </c>
      <c r="F414" s="49" t="s">
        <v>779</v>
      </c>
      <c r="G414" s="36" t="s">
        <v>870</v>
      </c>
      <c r="H414" s="44"/>
      <c r="I414" s="44"/>
      <c r="J414" s="44"/>
      <c r="K414" s="44" t="s">
        <v>231</v>
      </c>
      <c r="L414" s="44" t="s">
        <v>231</v>
      </c>
      <c r="M414" s="44" t="s">
        <v>231</v>
      </c>
      <c r="N414" s="36" t="s">
        <v>232</v>
      </c>
      <c r="O414" s="36" t="s">
        <v>871</v>
      </c>
      <c r="P414" s="45">
        <v>46062</v>
      </c>
      <c r="Q414" s="45">
        <v>46062</v>
      </c>
      <c r="R414" s="44">
        <v>2</v>
      </c>
      <c r="S414" s="46" t="s">
        <v>33</v>
      </c>
      <c r="T414" s="30" t="s">
        <v>234</v>
      </c>
      <c r="U414" s="39">
        <f>SUM(R414:R414)</f>
        <v>2</v>
      </c>
    </row>
    <row r="415" spans="1:21" s="40" customFormat="1" ht="39.950000000000003" customHeight="1" thickBot="1" x14ac:dyDescent="0.35">
      <c r="A415" s="30">
        <f t="array" ref="A415">IF(B415&lt;&gt;"",COUNTIF($B$19:B415,"&lt;&gt;"),"")</f>
        <v>353</v>
      </c>
      <c r="B415" s="41">
        <v>329</v>
      </c>
      <c r="C415" s="42" t="s">
        <v>864</v>
      </c>
      <c r="D415" s="43">
        <v>3811</v>
      </c>
      <c r="E415" s="42" t="s">
        <v>872</v>
      </c>
      <c r="F415" s="49" t="s">
        <v>779</v>
      </c>
      <c r="G415" s="36" t="s">
        <v>873</v>
      </c>
      <c r="H415" s="44"/>
      <c r="I415" s="44"/>
      <c r="J415" s="44"/>
      <c r="K415" s="44"/>
      <c r="L415" s="44"/>
      <c r="M415" s="44"/>
      <c r="N415" s="36"/>
      <c r="O415" s="36"/>
      <c r="P415" s="45"/>
      <c r="Q415" s="45"/>
      <c r="R415" s="44"/>
      <c r="S415" s="46" t="s">
        <v>33</v>
      </c>
      <c r="T415" s="30" t="str">
        <f>IFERROR(VLOOKUP(O415, '[1]CURSOS 2025'!A:B, 2, FALSE), "")</f>
        <v/>
      </c>
      <c r="U415" s="39">
        <f>SUM(R415:R415)</f>
        <v>0</v>
      </c>
    </row>
    <row r="416" spans="1:21" s="40" customFormat="1" ht="39.950000000000003" customHeight="1" thickBot="1" x14ac:dyDescent="0.35">
      <c r="A416" s="30">
        <f t="array" ref="A416">IF(B416&lt;&gt;"",COUNTIF($B$19:B416,"&lt;&gt;"),"")</f>
        <v>354</v>
      </c>
      <c r="B416" s="41">
        <v>329</v>
      </c>
      <c r="C416" s="42" t="s">
        <v>858</v>
      </c>
      <c r="D416" s="43">
        <v>3908</v>
      </c>
      <c r="E416" s="42" t="s">
        <v>874</v>
      </c>
      <c r="F416" s="49" t="s">
        <v>779</v>
      </c>
      <c r="G416" s="36" t="s">
        <v>875</v>
      </c>
      <c r="H416" s="44"/>
      <c r="I416" s="44"/>
      <c r="J416" s="44"/>
      <c r="K416" s="44"/>
      <c r="L416" s="44"/>
      <c r="M416" s="44"/>
      <c r="N416" s="36"/>
      <c r="O416" s="36"/>
      <c r="P416" s="45"/>
      <c r="Q416" s="45"/>
      <c r="R416" s="44"/>
      <c r="S416" s="46" t="s">
        <v>33</v>
      </c>
      <c r="T416" s="30" t="str">
        <f>IFERROR(VLOOKUP(O416, '[1]CURSOS 2025'!A:B, 2, FALSE), "")</f>
        <v/>
      </c>
      <c r="U416" s="39">
        <f>SUM(R416:R416)</f>
        <v>0</v>
      </c>
    </row>
    <row r="417" spans="1:21" s="40" customFormat="1" ht="39.950000000000003" customHeight="1" thickBot="1" x14ac:dyDescent="0.35">
      <c r="A417" s="30">
        <f t="array" ref="A417">IF(B417&lt;&gt;"",COUNTIF($B$19:B417,"&lt;&gt;"),"")</f>
        <v>355</v>
      </c>
      <c r="B417" s="41">
        <v>329</v>
      </c>
      <c r="C417" s="42" t="s">
        <v>864</v>
      </c>
      <c r="D417" s="43">
        <v>3700</v>
      </c>
      <c r="E417" s="42" t="s">
        <v>876</v>
      </c>
      <c r="F417" s="49" t="s">
        <v>779</v>
      </c>
      <c r="G417" s="36" t="s">
        <v>877</v>
      </c>
      <c r="H417" s="44"/>
      <c r="I417" s="44"/>
      <c r="J417" s="44"/>
      <c r="K417" s="44" t="s">
        <v>231</v>
      </c>
      <c r="L417" s="44" t="s">
        <v>231</v>
      </c>
      <c r="M417" s="44" t="s">
        <v>231</v>
      </c>
      <c r="N417" s="36" t="s">
        <v>232</v>
      </c>
      <c r="O417" s="36" t="s">
        <v>871</v>
      </c>
      <c r="P417" s="45">
        <v>46062</v>
      </c>
      <c r="Q417" s="45">
        <v>46062</v>
      </c>
      <c r="R417" s="44">
        <v>2</v>
      </c>
      <c r="S417" s="46" t="s">
        <v>33</v>
      </c>
      <c r="T417" s="30" t="s">
        <v>234</v>
      </c>
      <c r="U417" s="39">
        <f>SUM(R417:R417)</f>
        <v>2</v>
      </c>
    </row>
    <row r="418" spans="1:21" s="40" customFormat="1" ht="39.950000000000003" customHeight="1" thickBot="1" x14ac:dyDescent="0.35">
      <c r="A418" s="30">
        <f t="array" ref="A418">IF(B418&lt;&gt;"",COUNTIF($B$19:B418,"&lt;&gt;"),"")</f>
        <v>356</v>
      </c>
      <c r="B418" s="41">
        <v>328</v>
      </c>
      <c r="C418" s="42" t="s">
        <v>770</v>
      </c>
      <c r="D418" s="43" t="s">
        <v>878</v>
      </c>
      <c r="E418" s="42" t="s">
        <v>879</v>
      </c>
      <c r="F418" s="49" t="s">
        <v>724</v>
      </c>
      <c r="G418" s="36" t="s">
        <v>880</v>
      </c>
      <c r="H418" s="44"/>
      <c r="I418" s="44"/>
      <c r="J418" s="44"/>
      <c r="K418" s="44"/>
      <c r="L418" s="44"/>
      <c r="M418" s="44"/>
      <c r="N418" s="36"/>
      <c r="O418" s="36"/>
      <c r="P418" s="45"/>
      <c r="Q418" s="45"/>
      <c r="R418" s="44"/>
      <c r="S418" s="44" t="s">
        <v>33</v>
      </c>
      <c r="T418" s="30" t="str">
        <f>IFERROR(VLOOKUP(O418, '[1]CURSOS 2025'!A:B, 2, FALSE), "")</f>
        <v/>
      </c>
      <c r="U418" s="48">
        <f t="shared" ref="U418:U419" si="62">SUM(R418)</f>
        <v>0</v>
      </c>
    </row>
    <row r="419" spans="1:21" s="40" customFormat="1" ht="39.950000000000003" customHeight="1" thickBot="1" x14ac:dyDescent="0.35">
      <c r="A419" s="30">
        <f t="array" ref="A419">IF(B419&lt;&gt;"",COUNTIF($B$19:B419,"&lt;&gt;"),"")</f>
        <v>357</v>
      </c>
      <c r="B419" s="41">
        <v>328</v>
      </c>
      <c r="C419" s="42" t="s">
        <v>770</v>
      </c>
      <c r="D419" s="43">
        <v>3873</v>
      </c>
      <c r="E419" s="42" t="s">
        <v>881</v>
      </c>
      <c r="F419" s="49" t="s">
        <v>724</v>
      </c>
      <c r="G419" s="36" t="s">
        <v>882</v>
      </c>
      <c r="H419" s="44"/>
      <c r="I419" s="44"/>
      <c r="J419" s="44"/>
      <c r="K419" s="44"/>
      <c r="L419" s="44"/>
      <c r="M419" s="44"/>
      <c r="N419" s="36"/>
      <c r="O419" s="36"/>
      <c r="P419" s="45"/>
      <c r="Q419" s="45"/>
      <c r="R419" s="44"/>
      <c r="S419" s="44" t="s">
        <v>33</v>
      </c>
      <c r="T419" s="30" t="str">
        <f>IFERROR(VLOOKUP(O419, '[1]CURSOS 2025'!A:B, 2, FALSE), "")</f>
        <v/>
      </c>
      <c r="U419" s="48">
        <f t="shared" si="62"/>
        <v>0</v>
      </c>
    </row>
    <row r="420" spans="1:21" s="40" customFormat="1" ht="39.950000000000003" customHeight="1" thickBot="1" x14ac:dyDescent="0.35">
      <c r="A420" s="30">
        <f t="array" ref="A420">IF(B420&lt;&gt;"",COUNTIF($B$19:B420,"&lt;&gt;"),"")</f>
        <v>358</v>
      </c>
      <c r="B420" s="41">
        <v>328</v>
      </c>
      <c r="C420" s="42" t="s">
        <v>864</v>
      </c>
      <c r="D420" s="43">
        <v>3870</v>
      </c>
      <c r="E420" s="42" t="s">
        <v>883</v>
      </c>
      <c r="F420" s="49" t="s">
        <v>779</v>
      </c>
      <c r="G420" s="36" t="s">
        <v>884</v>
      </c>
      <c r="H420" s="44"/>
      <c r="I420" s="44"/>
      <c r="J420" s="44"/>
      <c r="K420" s="44"/>
      <c r="L420" s="44"/>
      <c r="M420" s="44"/>
      <c r="N420" s="36"/>
      <c r="O420" s="36"/>
      <c r="P420" s="45"/>
      <c r="Q420" s="45"/>
      <c r="R420" s="44"/>
      <c r="S420" s="46" t="s">
        <v>33</v>
      </c>
      <c r="T420" s="30" t="str">
        <f>IFERROR(VLOOKUP(O420, '[1]CURSOS 2025'!A:B, 2, FALSE), "")</f>
        <v/>
      </c>
      <c r="U420" s="39">
        <f>SUM(R420:R420)</f>
        <v>0</v>
      </c>
    </row>
    <row r="421" spans="1:21" s="40" customFormat="1" ht="39.950000000000003" customHeight="1" thickBot="1" x14ac:dyDescent="0.35">
      <c r="A421" s="30">
        <f t="array" ref="A421">IF(B421&lt;&gt;"",COUNTIF($B$19:B421,"&lt;&gt;"),"")</f>
        <v>359</v>
      </c>
      <c r="B421" s="41">
        <v>328</v>
      </c>
      <c r="C421" s="42" t="s">
        <v>864</v>
      </c>
      <c r="D421" s="43">
        <v>3852</v>
      </c>
      <c r="E421" s="42" t="s">
        <v>885</v>
      </c>
      <c r="F421" s="49" t="s">
        <v>779</v>
      </c>
      <c r="G421" s="36" t="s">
        <v>886</v>
      </c>
      <c r="H421" s="44"/>
      <c r="I421" s="44"/>
      <c r="J421" s="44"/>
      <c r="K421" s="44"/>
      <c r="L421" s="44"/>
      <c r="M421" s="44"/>
      <c r="N421" s="36"/>
      <c r="O421" s="36"/>
      <c r="P421" s="45"/>
      <c r="Q421" s="45"/>
      <c r="R421" s="44"/>
      <c r="S421" s="46" t="s">
        <v>33</v>
      </c>
      <c r="T421" s="30" t="str">
        <f>IFERROR(VLOOKUP(O421, '[1]CURSOS 2025'!A:B, 2, FALSE), "")</f>
        <v/>
      </c>
      <c r="U421" s="39">
        <f>SUM(R421:R421)</f>
        <v>0</v>
      </c>
    </row>
    <row r="422" spans="1:21" s="40" customFormat="1" ht="39.950000000000003" customHeight="1" thickBot="1" x14ac:dyDescent="0.35">
      <c r="A422" s="30">
        <f t="array" ref="A422">IF(B422&lt;&gt;"",COUNTIF($B$19:B422,"&lt;&gt;"),"")</f>
        <v>360</v>
      </c>
      <c r="B422" s="41">
        <v>328</v>
      </c>
      <c r="C422" s="42" t="s">
        <v>770</v>
      </c>
      <c r="D422" s="43">
        <v>3830</v>
      </c>
      <c r="E422" s="42" t="s">
        <v>887</v>
      </c>
      <c r="F422" s="49" t="s">
        <v>724</v>
      </c>
      <c r="G422" s="36" t="s">
        <v>888</v>
      </c>
      <c r="H422" s="44"/>
      <c r="I422" s="44"/>
      <c r="J422" s="44"/>
      <c r="K422" s="44"/>
      <c r="L422" s="44"/>
      <c r="M422" s="44"/>
      <c r="N422" s="36"/>
      <c r="O422" s="36"/>
      <c r="P422" s="45"/>
      <c r="Q422" s="45"/>
      <c r="R422" s="44"/>
      <c r="S422" s="44" t="s">
        <v>33</v>
      </c>
      <c r="T422" s="30" t="str">
        <f>IFERROR(VLOOKUP(O422, '[1]CURSOS 2025'!A:B, 2, FALSE), "")</f>
        <v/>
      </c>
      <c r="U422" s="48">
        <f t="shared" ref="U422" si="63">SUM(R422)</f>
        <v>0</v>
      </c>
    </row>
    <row r="423" spans="1:21" s="40" customFormat="1" ht="39.950000000000003" customHeight="1" thickBot="1" x14ac:dyDescent="0.35">
      <c r="A423" s="30">
        <f t="array" ref="A423">IF(B423&lt;&gt;"",COUNTIF($B$19:B423,"&lt;&gt;"),"")</f>
        <v>361</v>
      </c>
      <c r="B423" s="41">
        <v>328</v>
      </c>
      <c r="C423" s="42" t="s">
        <v>770</v>
      </c>
      <c r="D423" s="43">
        <v>3527</v>
      </c>
      <c r="E423" s="42" t="s">
        <v>889</v>
      </c>
      <c r="F423" s="49" t="s">
        <v>724</v>
      </c>
      <c r="G423" s="36" t="s">
        <v>890</v>
      </c>
      <c r="H423" s="44"/>
      <c r="I423" s="44"/>
      <c r="J423" s="44"/>
      <c r="K423" s="44"/>
      <c r="L423" s="44"/>
      <c r="M423" s="44"/>
      <c r="N423" s="36"/>
      <c r="O423" s="36"/>
      <c r="P423" s="45"/>
      <c r="Q423" s="45"/>
      <c r="R423" s="44"/>
      <c r="S423" s="46" t="s">
        <v>33</v>
      </c>
      <c r="T423" s="30" t="str">
        <f>IFERROR(VLOOKUP(O423, '[1]CURSOS 2025'!A:B, 2, FALSE), "")</f>
        <v/>
      </c>
      <c r="U423" s="39">
        <f>SUM(R423:R423)</f>
        <v>0</v>
      </c>
    </row>
    <row r="424" spans="1:21" s="40" customFormat="1" ht="39.950000000000003" customHeight="1" thickBot="1" x14ac:dyDescent="0.35">
      <c r="A424" s="30">
        <f t="array" ref="A424">IF(B424&lt;&gt;"",COUNTIF($B$19:B424,"&lt;&gt;"),"")</f>
        <v>362</v>
      </c>
      <c r="B424" s="41">
        <v>328</v>
      </c>
      <c r="C424" s="42" t="s">
        <v>770</v>
      </c>
      <c r="D424" s="43">
        <v>3802</v>
      </c>
      <c r="E424" s="42" t="s">
        <v>891</v>
      </c>
      <c r="F424" s="49" t="s">
        <v>724</v>
      </c>
      <c r="G424" s="36" t="s">
        <v>892</v>
      </c>
      <c r="H424" s="44"/>
      <c r="I424" s="44"/>
      <c r="J424" s="44"/>
      <c r="K424" s="44"/>
      <c r="L424" s="44"/>
      <c r="M424" s="44"/>
      <c r="N424" s="36"/>
      <c r="O424" s="36"/>
      <c r="P424" s="45"/>
      <c r="Q424" s="45"/>
      <c r="R424" s="44"/>
      <c r="S424" s="46" t="s">
        <v>33</v>
      </c>
      <c r="T424" s="30" t="str">
        <f>IFERROR(VLOOKUP(O424, '[1]CURSOS 2025'!A:B, 2, FALSE), "")</f>
        <v/>
      </c>
      <c r="U424" s="39">
        <f>SUM(R424:R424)</f>
        <v>0</v>
      </c>
    </row>
    <row r="425" spans="1:21" s="40" customFormat="1" ht="39.950000000000003" customHeight="1" thickBot="1" x14ac:dyDescent="0.35">
      <c r="A425" s="30">
        <f t="array" ref="A425">IF(B425&lt;&gt;"",COUNTIF($B$19:B425,"&lt;&gt;"),"")</f>
        <v>363</v>
      </c>
      <c r="B425" s="41">
        <v>328</v>
      </c>
      <c r="C425" s="42" t="s">
        <v>893</v>
      </c>
      <c r="D425" s="43">
        <v>3741</v>
      </c>
      <c r="E425" s="42" t="s">
        <v>894</v>
      </c>
      <c r="F425" s="49" t="s">
        <v>724</v>
      </c>
      <c r="G425" s="36" t="s">
        <v>895</v>
      </c>
      <c r="H425" s="44"/>
      <c r="I425" s="44"/>
      <c r="J425" s="44"/>
      <c r="K425" s="44"/>
      <c r="L425" s="44"/>
      <c r="M425" s="44"/>
      <c r="N425" s="36"/>
      <c r="O425" s="36"/>
      <c r="P425" s="45"/>
      <c r="Q425" s="45"/>
      <c r="R425" s="44"/>
      <c r="S425" s="46" t="s">
        <v>33</v>
      </c>
      <c r="T425" s="30" t="str">
        <f>IFERROR(VLOOKUP(O425, '[1]CURSOS 2025'!A:B, 2, FALSE), "")</f>
        <v/>
      </c>
      <c r="U425" s="39">
        <f>SUM(R425:R425)</f>
        <v>0</v>
      </c>
    </row>
    <row r="426" spans="1:21" s="40" customFormat="1" ht="39.950000000000003" customHeight="1" thickBot="1" x14ac:dyDescent="0.35">
      <c r="A426" s="30">
        <f t="array" ref="A426">IF(B426&lt;&gt;"",COUNTIF($B$19:B426,"&lt;&gt;"),"")</f>
        <v>364</v>
      </c>
      <c r="B426" s="41">
        <v>328</v>
      </c>
      <c r="C426" s="42" t="s">
        <v>893</v>
      </c>
      <c r="D426" s="43">
        <v>3746</v>
      </c>
      <c r="E426" s="42" t="s">
        <v>896</v>
      </c>
      <c r="F426" s="49" t="s">
        <v>724</v>
      </c>
      <c r="G426" s="36" t="s">
        <v>897</v>
      </c>
      <c r="H426" s="44"/>
      <c r="I426" s="44"/>
      <c r="J426" s="44"/>
      <c r="K426" s="44"/>
      <c r="L426" s="44"/>
      <c r="M426" s="44"/>
      <c r="N426" s="36"/>
      <c r="O426" s="36"/>
      <c r="P426" s="45"/>
      <c r="Q426" s="45"/>
      <c r="R426" s="44"/>
      <c r="S426" s="46" t="s">
        <v>33</v>
      </c>
      <c r="T426" s="30" t="str">
        <f>IFERROR(VLOOKUP(O426, '[1]CURSOS 2025'!A:B, 2, FALSE), "")</f>
        <v/>
      </c>
      <c r="U426" s="39">
        <f>SUM(R426:R426)</f>
        <v>0</v>
      </c>
    </row>
    <row r="427" spans="1:21" s="40" customFormat="1" ht="39.950000000000003" customHeight="1" thickBot="1" x14ac:dyDescent="0.35">
      <c r="A427" s="30">
        <f t="array" ref="A427">IF(B427&lt;&gt;"",COUNTIF($B$19:B427,"&lt;&gt;"),"")</f>
        <v>365</v>
      </c>
      <c r="B427" s="41">
        <v>328</v>
      </c>
      <c r="C427" s="42" t="s">
        <v>893</v>
      </c>
      <c r="D427" s="43">
        <v>3735</v>
      </c>
      <c r="E427" s="42" t="s">
        <v>898</v>
      </c>
      <c r="F427" s="49" t="s">
        <v>724</v>
      </c>
      <c r="G427" s="36" t="s">
        <v>899</v>
      </c>
      <c r="H427" s="44"/>
      <c r="I427" s="44"/>
      <c r="J427" s="44"/>
      <c r="K427" s="44"/>
      <c r="L427" s="44"/>
      <c r="M427" s="44"/>
      <c r="N427" s="36"/>
      <c r="O427" s="36"/>
      <c r="P427" s="45"/>
      <c r="Q427" s="45"/>
      <c r="R427" s="44"/>
      <c r="S427" s="44" t="s">
        <v>33</v>
      </c>
      <c r="T427" s="30" t="str">
        <f>IFERROR(VLOOKUP(O427, '[1]CURSOS 2025'!A:B, 2, FALSE), "")</f>
        <v/>
      </c>
      <c r="U427" s="48">
        <f t="shared" ref="U427" si="64">SUM(R427)</f>
        <v>0</v>
      </c>
    </row>
    <row r="428" spans="1:21" s="40" customFormat="1" ht="39.950000000000003" customHeight="1" thickBot="1" x14ac:dyDescent="0.35">
      <c r="A428" s="30">
        <f t="array" ref="A428">IF(B428&lt;&gt;"",COUNTIF($B$19:B428,"&lt;&gt;"),"")</f>
        <v>366</v>
      </c>
      <c r="B428" s="41">
        <v>328</v>
      </c>
      <c r="C428" s="42" t="s">
        <v>893</v>
      </c>
      <c r="D428" s="43">
        <v>3733</v>
      </c>
      <c r="E428" s="42" t="s">
        <v>900</v>
      </c>
      <c r="F428" s="49" t="s">
        <v>724</v>
      </c>
      <c r="G428" s="36" t="s">
        <v>901</v>
      </c>
      <c r="H428" s="44"/>
      <c r="I428" s="44"/>
      <c r="J428" s="44"/>
      <c r="K428" s="44"/>
      <c r="L428" s="44"/>
      <c r="M428" s="44"/>
      <c r="N428" s="36"/>
      <c r="O428" s="36"/>
      <c r="P428" s="45"/>
      <c r="Q428" s="45"/>
      <c r="R428" s="44"/>
      <c r="S428" s="46" t="s">
        <v>33</v>
      </c>
      <c r="T428" s="30" t="str">
        <f>IFERROR(VLOOKUP(O428, '[1]CURSOS 2025'!A:B, 2, FALSE), "")</f>
        <v/>
      </c>
      <c r="U428" s="39">
        <f>SUM(R428:R428)</f>
        <v>0</v>
      </c>
    </row>
    <row r="429" spans="1:21" s="40" customFormat="1" ht="39.950000000000003" customHeight="1" thickBot="1" x14ac:dyDescent="0.35">
      <c r="A429" s="30">
        <f t="array" ref="A429">IF(B429&lt;&gt;"",COUNTIF($B$19:B429,"&lt;&gt;"),"")</f>
        <v>367</v>
      </c>
      <c r="B429" s="41">
        <v>328</v>
      </c>
      <c r="C429" s="42" t="s">
        <v>893</v>
      </c>
      <c r="D429" s="43">
        <v>3715</v>
      </c>
      <c r="E429" s="42" t="s">
        <v>902</v>
      </c>
      <c r="F429" s="49" t="s">
        <v>724</v>
      </c>
      <c r="G429" s="36" t="s">
        <v>903</v>
      </c>
      <c r="H429" s="44"/>
      <c r="I429" s="44"/>
      <c r="J429" s="44"/>
      <c r="K429" s="44"/>
      <c r="L429" s="44"/>
      <c r="M429" s="44"/>
      <c r="N429" s="36"/>
      <c r="O429" s="36"/>
      <c r="P429" s="45"/>
      <c r="Q429" s="45"/>
      <c r="R429" s="44"/>
      <c r="S429" s="46" t="s">
        <v>33</v>
      </c>
      <c r="T429" s="30" t="str">
        <f>IFERROR(VLOOKUP(O429, '[1]CURSOS 2025'!A:B, 2, FALSE), "")</f>
        <v/>
      </c>
      <c r="U429" s="39">
        <f>SUM(R429:R429)</f>
        <v>0</v>
      </c>
    </row>
    <row r="430" spans="1:21" s="40" customFormat="1" ht="39.950000000000003" customHeight="1" thickBot="1" x14ac:dyDescent="0.35">
      <c r="A430" s="30">
        <f t="array" ref="A430">IF(B430&lt;&gt;"",COUNTIF($B$19:B430,"&lt;&gt;"),"")</f>
        <v>368</v>
      </c>
      <c r="B430" s="41">
        <v>328</v>
      </c>
      <c r="C430" s="42" t="s">
        <v>816</v>
      </c>
      <c r="D430" s="43">
        <v>3834</v>
      </c>
      <c r="E430" s="42" t="s">
        <v>904</v>
      </c>
      <c r="F430" s="49" t="s">
        <v>724</v>
      </c>
      <c r="G430" s="36" t="s">
        <v>905</v>
      </c>
      <c r="H430" s="44"/>
      <c r="I430" s="44"/>
      <c r="J430" s="44"/>
      <c r="K430" s="44"/>
      <c r="L430" s="44"/>
      <c r="M430" s="44"/>
      <c r="N430" s="36"/>
      <c r="O430" s="36"/>
      <c r="P430" s="45"/>
      <c r="Q430" s="45"/>
      <c r="R430" s="44"/>
      <c r="S430" s="44" t="s">
        <v>33</v>
      </c>
      <c r="T430" s="30" t="str">
        <f>IFERROR(VLOOKUP(O430, '[1]CURSOS 2025'!A:B, 2, FALSE), "")</f>
        <v/>
      </c>
      <c r="U430" s="48">
        <f t="shared" ref="U430" si="65">SUM(R430)</f>
        <v>0</v>
      </c>
    </row>
    <row r="431" spans="1:21" s="40" customFormat="1" ht="39.950000000000003" customHeight="1" thickBot="1" x14ac:dyDescent="0.35">
      <c r="A431" s="30">
        <f t="array" ref="A431">IF(B431&lt;&gt;"",COUNTIF($B$19:B431,"&lt;&gt;"),"")</f>
        <v>369</v>
      </c>
      <c r="B431" s="41">
        <v>328</v>
      </c>
      <c r="C431" s="42" t="s">
        <v>816</v>
      </c>
      <c r="D431" s="43">
        <v>3758</v>
      </c>
      <c r="E431" s="42" t="s">
        <v>906</v>
      </c>
      <c r="F431" s="49" t="s">
        <v>724</v>
      </c>
      <c r="G431" s="36" t="s">
        <v>907</v>
      </c>
      <c r="H431" s="44"/>
      <c r="I431" s="44"/>
      <c r="J431" s="44"/>
      <c r="K431" s="44"/>
      <c r="L431" s="44"/>
      <c r="M431" s="44"/>
      <c r="N431" s="36"/>
      <c r="O431" s="36"/>
      <c r="P431" s="45"/>
      <c r="Q431" s="45"/>
      <c r="R431" s="44"/>
      <c r="S431" s="46" t="s">
        <v>33</v>
      </c>
      <c r="T431" s="30" t="str">
        <f>IFERROR(VLOOKUP(O431, '[1]CURSOS 2025'!A:B, 2, FALSE), "")</f>
        <v/>
      </c>
      <c r="U431" s="39">
        <f t="shared" ref="U431:U437" si="66">SUM(R431:R431)</f>
        <v>0</v>
      </c>
    </row>
    <row r="432" spans="1:21" s="40" customFormat="1" ht="39.950000000000003" customHeight="1" thickBot="1" x14ac:dyDescent="0.35">
      <c r="A432" s="30">
        <f t="array" ref="A432">IF(B432&lt;&gt;"",COUNTIF($B$19:B432,"&lt;&gt;"),"")</f>
        <v>370</v>
      </c>
      <c r="B432" s="41">
        <v>328</v>
      </c>
      <c r="C432" s="42" t="s">
        <v>816</v>
      </c>
      <c r="D432" s="43">
        <v>3779</v>
      </c>
      <c r="E432" s="42" t="s">
        <v>908</v>
      </c>
      <c r="F432" s="49" t="s">
        <v>724</v>
      </c>
      <c r="G432" s="36" t="s">
        <v>909</v>
      </c>
      <c r="H432" s="44"/>
      <c r="I432" s="44"/>
      <c r="J432" s="44"/>
      <c r="K432" s="44"/>
      <c r="L432" s="44"/>
      <c r="M432" s="44"/>
      <c r="N432" s="36"/>
      <c r="O432" s="36"/>
      <c r="P432" s="45"/>
      <c r="Q432" s="45"/>
      <c r="R432" s="44"/>
      <c r="S432" s="46" t="s">
        <v>33</v>
      </c>
      <c r="T432" s="30" t="str">
        <f>IFERROR(VLOOKUP(O432, '[1]CURSOS 2025'!A:B, 2, FALSE), "")</f>
        <v/>
      </c>
      <c r="U432" s="39">
        <f t="shared" si="66"/>
        <v>0</v>
      </c>
    </row>
    <row r="433" spans="1:21" s="40" customFormat="1" ht="39.950000000000003" customHeight="1" thickBot="1" x14ac:dyDescent="0.35">
      <c r="A433" s="30">
        <f t="array" ref="A433">IF(B433&lt;&gt;"",COUNTIF($B$19:B433,"&lt;&gt;"),"")</f>
        <v>371</v>
      </c>
      <c r="B433" s="41">
        <v>328</v>
      </c>
      <c r="C433" s="42" t="s">
        <v>816</v>
      </c>
      <c r="D433" s="43">
        <v>3756</v>
      </c>
      <c r="E433" s="42" t="s">
        <v>910</v>
      </c>
      <c r="F433" s="49" t="s">
        <v>724</v>
      </c>
      <c r="G433" s="36" t="s">
        <v>911</v>
      </c>
      <c r="H433" s="44"/>
      <c r="I433" s="44"/>
      <c r="J433" s="44"/>
      <c r="K433" s="44"/>
      <c r="L433" s="44"/>
      <c r="M433" s="44"/>
      <c r="N433" s="36"/>
      <c r="O433" s="36"/>
      <c r="P433" s="45"/>
      <c r="Q433" s="45"/>
      <c r="R433" s="44"/>
      <c r="S433" s="46" t="s">
        <v>33</v>
      </c>
      <c r="T433" s="30" t="str">
        <f>IFERROR(VLOOKUP(O433, '[1]CURSOS 2025'!A:B, 2, FALSE), "")</f>
        <v/>
      </c>
      <c r="U433" s="39">
        <f t="shared" si="66"/>
        <v>0</v>
      </c>
    </row>
    <row r="434" spans="1:21" s="40" customFormat="1" ht="39.950000000000003" customHeight="1" thickBot="1" x14ac:dyDescent="0.35">
      <c r="A434" s="30">
        <f t="array" ref="A434">IF(B434&lt;&gt;"",COUNTIF($B$19:B434,"&lt;&gt;"),"")</f>
        <v>372</v>
      </c>
      <c r="B434" s="41">
        <v>328</v>
      </c>
      <c r="C434" s="42" t="s">
        <v>912</v>
      </c>
      <c r="D434" s="43">
        <v>3528</v>
      </c>
      <c r="E434" s="42" t="s">
        <v>913</v>
      </c>
      <c r="F434" s="49" t="s">
        <v>724</v>
      </c>
      <c r="G434" s="36" t="s">
        <v>914</v>
      </c>
      <c r="H434" s="44"/>
      <c r="I434" s="44"/>
      <c r="J434" s="44"/>
      <c r="K434" s="44"/>
      <c r="L434" s="44"/>
      <c r="M434" s="44"/>
      <c r="N434" s="36"/>
      <c r="O434" s="36"/>
      <c r="P434" s="45"/>
      <c r="Q434" s="45"/>
      <c r="R434" s="44"/>
      <c r="S434" s="46" t="s">
        <v>33</v>
      </c>
      <c r="T434" s="30" t="str">
        <f>IFERROR(VLOOKUP(O434, '[1]CURSOS 2025'!A:B, 2, FALSE), "")</f>
        <v/>
      </c>
      <c r="U434" s="39">
        <f t="shared" si="66"/>
        <v>0</v>
      </c>
    </row>
    <row r="435" spans="1:21" s="40" customFormat="1" ht="39.950000000000003" customHeight="1" thickBot="1" x14ac:dyDescent="0.35">
      <c r="A435" s="30">
        <f t="array" ref="A435">IF(B435&lt;&gt;"",COUNTIF($B$19:B435,"&lt;&gt;"),"")</f>
        <v>373</v>
      </c>
      <c r="B435" s="41">
        <v>328</v>
      </c>
      <c r="C435" s="42" t="s">
        <v>912</v>
      </c>
      <c r="D435" s="43">
        <v>3510</v>
      </c>
      <c r="E435" s="42" t="s">
        <v>915</v>
      </c>
      <c r="F435" s="49" t="s">
        <v>724</v>
      </c>
      <c r="G435" s="36" t="s">
        <v>916</v>
      </c>
      <c r="H435" s="44"/>
      <c r="I435" s="44"/>
      <c r="J435" s="44"/>
      <c r="K435" s="44"/>
      <c r="L435" s="44"/>
      <c r="M435" s="44"/>
      <c r="N435" s="36"/>
      <c r="O435" s="36"/>
      <c r="P435" s="45"/>
      <c r="Q435" s="45"/>
      <c r="R435" s="44"/>
      <c r="S435" s="46" t="s">
        <v>33</v>
      </c>
      <c r="T435" s="30" t="str">
        <f>IFERROR(VLOOKUP(O435, '[1]CURSOS 2025'!A:B, 2, FALSE), "")</f>
        <v/>
      </c>
      <c r="U435" s="39">
        <f t="shared" si="66"/>
        <v>0</v>
      </c>
    </row>
    <row r="436" spans="1:21" s="40" customFormat="1" ht="39.950000000000003" customHeight="1" thickBot="1" x14ac:dyDescent="0.35">
      <c r="A436" s="30">
        <f t="array" ref="A436">IF(B436&lt;&gt;"",COUNTIF($B$19:B436,"&lt;&gt;"),"")</f>
        <v>374</v>
      </c>
      <c r="B436" s="41">
        <v>329</v>
      </c>
      <c r="C436" s="42" t="s">
        <v>912</v>
      </c>
      <c r="D436" s="43">
        <v>3507</v>
      </c>
      <c r="E436" s="42" t="s">
        <v>917</v>
      </c>
      <c r="F436" s="49" t="s">
        <v>724</v>
      </c>
      <c r="G436" s="36" t="s">
        <v>918</v>
      </c>
      <c r="H436" s="44"/>
      <c r="I436" s="44"/>
      <c r="J436" s="44"/>
      <c r="K436" s="44"/>
      <c r="L436" s="44"/>
      <c r="M436" s="44"/>
      <c r="N436" s="36"/>
      <c r="O436" s="36"/>
      <c r="P436" s="45"/>
      <c r="Q436" s="45"/>
      <c r="R436" s="44"/>
      <c r="S436" s="46" t="s">
        <v>33</v>
      </c>
      <c r="T436" s="30" t="str">
        <f>IFERROR(VLOOKUP(O436, '[1]CURSOS 2025'!A:B, 2, FALSE), "")</f>
        <v/>
      </c>
      <c r="U436" s="39">
        <f t="shared" si="66"/>
        <v>0</v>
      </c>
    </row>
    <row r="437" spans="1:21" s="40" customFormat="1" ht="39.950000000000003" customHeight="1" thickBot="1" x14ac:dyDescent="0.35">
      <c r="A437" s="30">
        <f t="array" ref="A437">IF(B437&lt;&gt;"",COUNTIF($B$19:B437,"&lt;&gt;"),"")</f>
        <v>375</v>
      </c>
      <c r="B437" s="41">
        <v>328</v>
      </c>
      <c r="C437" s="42" t="s">
        <v>919</v>
      </c>
      <c r="D437" s="43">
        <v>3406</v>
      </c>
      <c r="E437" s="42" t="s">
        <v>920</v>
      </c>
      <c r="F437" s="49" t="s">
        <v>724</v>
      </c>
      <c r="G437" s="36" t="s">
        <v>921</v>
      </c>
      <c r="H437" s="44"/>
      <c r="I437" s="44"/>
      <c r="J437" s="44"/>
      <c r="K437" s="44"/>
      <c r="L437" s="44"/>
      <c r="M437" s="44"/>
      <c r="N437" s="36"/>
      <c r="O437" s="36"/>
      <c r="P437" s="45"/>
      <c r="Q437" s="45"/>
      <c r="R437" s="44"/>
      <c r="S437" s="46" t="s">
        <v>33</v>
      </c>
      <c r="T437" s="30" t="str">
        <f>IFERROR(VLOOKUP(O437, '[1]CURSOS 2025'!A:B, 2, FALSE), "")</f>
        <v/>
      </c>
      <c r="U437" s="39">
        <f t="shared" si="66"/>
        <v>0</v>
      </c>
    </row>
    <row r="438" spans="1:21" s="40" customFormat="1" ht="39.950000000000003" customHeight="1" thickBot="1" x14ac:dyDescent="0.35">
      <c r="A438" s="30">
        <f t="array" ref="A438">IF(B438&lt;&gt;"",COUNTIF($B$19:B438,"&lt;&gt;"),"")</f>
        <v>376</v>
      </c>
      <c r="B438" s="41">
        <v>328</v>
      </c>
      <c r="C438" s="42" t="s">
        <v>912</v>
      </c>
      <c r="D438" s="43">
        <v>3399</v>
      </c>
      <c r="E438" s="42" t="s">
        <v>922</v>
      </c>
      <c r="F438" s="49" t="s">
        <v>724</v>
      </c>
      <c r="G438" s="36" t="s">
        <v>923</v>
      </c>
      <c r="H438" s="44"/>
      <c r="I438" s="44"/>
      <c r="J438" s="44"/>
      <c r="K438" s="44"/>
      <c r="L438" s="44"/>
      <c r="M438" s="44"/>
      <c r="N438" s="36"/>
      <c r="O438" s="36"/>
      <c r="P438" s="45"/>
      <c r="Q438" s="45"/>
      <c r="R438" s="44"/>
      <c r="S438" s="44" t="s">
        <v>33</v>
      </c>
      <c r="T438" s="30" t="str">
        <f>IFERROR(VLOOKUP(O438, '[1]CURSOS 2025'!A:B, 2, FALSE), "")</f>
        <v/>
      </c>
      <c r="U438" s="48">
        <f t="shared" ref="U438" si="67">SUM(R438)</f>
        <v>0</v>
      </c>
    </row>
    <row r="439" spans="1:21" s="40" customFormat="1" ht="39.950000000000003" customHeight="1" thickBot="1" x14ac:dyDescent="0.35">
      <c r="A439" s="30">
        <f t="array" ref="A439">IF(B439&lt;&gt;"",COUNTIF($B$19:B439,"&lt;&gt;"),"")</f>
        <v>377</v>
      </c>
      <c r="B439" s="41">
        <v>328</v>
      </c>
      <c r="C439" s="42" t="s">
        <v>912</v>
      </c>
      <c r="D439" s="43">
        <v>3651</v>
      </c>
      <c r="E439" s="42" t="s">
        <v>924</v>
      </c>
      <c r="F439" s="49" t="s">
        <v>724</v>
      </c>
      <c r="G439" s="36" t="s">
        <v>925</v>
      </c>
      <c r="H439" s="44"/>
      <c r="I439" s="44"/>
      <c r="J439" s="44"/>
      <c r="K439" s="44"/>
      <c r="L439" s="44"/>
      <c r="M439" s="44"/>
      <c r="N439" s="36"/>
      <c r="O439" s="36"/>
      <c r="P439" s="45"/>
      <c r="Q439" s="45"/>
      <c r="R439" s="44"/>
      <c r="S439" s="46" t="s">
        <v>33</v>
      </c>
      <c r="T439" s="30" t="str">
        <f>IFERROR(VLOOKUP(O439, '[1]CURSOS 2025'!A:B, 2, FALSE), "")</f>
        <v/>
      </c>
      <c r="U439" s="39">
        <f>SUM(R439:R439)</f>
        <v>0</v>
      </c>
    </row>
    <row r="440" spans="1:21" s="40" customFormat="1" ht="39.950000000000003" customHeight="1" thickBot="1" x14ac:dyDescent="0.35">
      <c r="A440" s="30">
        <f t="array" ref="A440">IF(B440&lt;&gt;"",COUNTIF($B$19:B440,"&lt;&gt;"),"")</f>
        <v>378</v>
      </c>
      <c r="B440" s="41">
        <v>329</v>
      </c>
      <c r="C440" s="42" t="s">
        <v>835</v>
      </c>
      <c r="D440" s="43">
        <v>3537</v>
      </c>
      <c r="E440" s="42" t="s">
        <v>926</v>
      </c>
      <c r="F440" s="49" t="s">
        <v>724</v>
      </c>
      <c r="G440" s="36" t="s">
        <v>927</v>
      </c>
      <c r="H440" s="44"/>
      <c r="I440" s="44"/>
      <c r="J440" s="44"/>
      <c r="K440" s="44"/>
      <c r="L440" s="44"/>
      <c r="M440" s="44"/>
      <c r="N440" s="36"/>
      <c r="O440" s="36"/>
      <c r="P440" s="45"/>
      <c r="Q440" s="45"/>
      <c r="R440" s="44"/>
      <c r="S440" s="44" t="s">
        <v>33</v>
      </c>
      <c r="T440" s="30" t="str">
        <f>IFERROR(VLOOKUP(O440, '[1]CURSOS 2025'!A:B, 2, FALSE), "")</f>
        <v/>
      </c>
      <c r="U440" s="48">
        <f t="shared" ref="U440:U442" si="68">SUM(R440)</f>
        <v>0</v>
      </c>
    </row>
    <row r="441" spans="1:21" s="40" customFormat="1" ht="39.950000000000003" customHeight="1" thickBot="1" x14ac:dyDescent="0.35">
      <c r="A441" s="30">
        <f t="array" ref="A441">IF(B441&lt;&gt;"",COUNTIF($B$19:B441,"&lt;&gt;"),"")</f>
        <v>379</v>
      </c>
      <c r="B441" s="41">
        <v>328</v>
      </c>
      <c r="C441" s="42" t="s">
        <v>835</v>
      </c>
      <c r="D441" s="43">
        <v>3521</v>
      </c>
      <c r="E441" s="42" t="s">
        <v>928</v>
      </c>
      <c r="F441" s="49" t="s">
        <v>724</v>
      </c>
      <c r="G441" s="36" t="s">
        <v>929</v>
      </c>
      <c r="H441" s="44"/>
      <c r="I441" s="44"/>
      <c r="J441" s="44"/>
      <c r="K441" s="44"/>
      <c r="L441" s="44"/>
      <c r="M441" s="44"/>
      <c r="N441" s="36"/>
      <c r="O441" s="36"/>
      <c r="P441" s="45"/>
      <c r="Q441" s="45"/>
      <c r="R441" s="44"/>
      <c r="S441" s="44" t="s">
        <v>33</v>
      </c>
      <c r="T441" s="30" t="str">
        <f>IFERROR(VLOOKUP(O441, '[1]CURSOS 2025'!A:B, 2, FALSE), "")</f>
        <v/>
      </c>
      <c r="U441" s="48">
        <f t="shared" si="68"/>
        <v>0</v>
      </c>
    </row>
    <row r="442" spans="1:21" s="40" customFormat="1" ht="39.950000000000003" customHeight="1" thickBot="1" x14ac:dyDescent="0.35">
      <c r="A442" s="30">
        <f t="array" ref="A442">IF(B442&lt;&gt;"",COUNTIF($B$19:B442,"&lt;&gt;"),"")</f>
        <v>380</v>
      </c>
      <c r="B442" s="41">
        <v>328</v>
      </c>
      <c r="C442" s="42" t="s">
        <v>835</v>
      </c>
      <c r="D442" s="43">
        <v>3360</v>
      </c>
      <c r="E442" s="42" t="s">
        <v>930</v>
      </c>
      <c r="F442" s="49" t="s">
        <v>724</v>
      </c>
      <c r="G442" s="36" t="s">
        <v>931</v>
      </c>
      <c r="H442" s="44"/>
      <c r="I442" s="44"/>
      <c r="J442" s="44"/>
      <c r="K442" s="44"/>
      <c r="L442" s="44"/>
      <c r="M442" s="44"/>
      <c r="N442" s="36"/>
      <c r="O442" s="36"/>
      <c r="P442" s="45"/>
      <c r="Q442" s="45"/>
      <c r="R442" s="44"/>
      <c r="S442" s="44" t="s">
        <v>33</v>
      </c>
      <c r="T442" s="30" t="str">
        <f>IFERROR(VLOOKUP(O442, '[1]CURSOS 2025'!A:B, 2, FALSE), "")</f>
        <v/>
      </c>
      <c r="U442" s="48">
        <f t="shared" si="68"/>
        <v>0</v>
      </c>
    </row>
    <row r="443" spans="1:21" s="40" customFormat="1" ht="39.950000000000003" customHeight="1" thickBot="1" x14ac:dyDescent="0.35">
      <c r="A443" s="30">
        <f t="array" ref="A443">IF(B443&lt;&gt;"",COUNTIF($B$19:B443,"&lt;&gt;"),"")</f>
        <v>381</v>
      </c>
      <c r="B443" s="41">
        <v>328</v>
      </c>
      <c r="C443" s="42" t="s">
        <v>141</v>
      </c>
      <c r="D443" s="43">
        <v>3327</v>
      </c>
      <c r="E443" s="42" t="s">
        <v>932</v>
      </c>
      <c r="F443" s="49" t="s">
        <v>724</v>
      </c>
      <c r="G443" s="36" t="s">
        <v>933</v>
      </c>
      <c r="H443" s="44"/>
      <c r="I443" s="44"/>
      <c r="J443" s="44"/>
      <c r="K443" s="44"/>
      <c r="L443" s="44"/>
      <c r="M443" s="44"/>
      <c r="N443" s="36"/>
      <c r="O443" s="36"/>
      <c r="P443" s="45"/>
      <c r="Q443" s="45"/>
      <c r="R443" s="44"/>
      <c r="S443" s="46" t="s">
        <v>33</v>
      </c>
      <c r="T443" s="30" t="str">
        <f>IFERROR(VLOOKUP(O443, '[1]CURSOS 2025'!A:B, 2, FALSE), "")</f>
        <v/>
      </c>
      <c r="U443" s="39">
        <f>SUM(R443:R443)</f>
        <v>0</v>
      </c>
    </row>
    <row r="444" spans="1:21" s="40" customFormat="1" ht="42" customHeight="1" thickBot="1" x14ac:dyDescent="0.35">
      <c r="A444" s="30">
        <f t="array" ref="A444">IF(B444&lt;&gt;"",COUNTIF($B$19:B444,"&lt;&gt;"),"")</f>
        <v>382</v>
      </c>
      <c r="B444" s="41">
        <v>328</v>
      </c>
      <c r="C444" s="42" t="s">
        <v>835</v>
      </c>
      <c r="D444" s="43">
        <v>3320</v>
      </c>
      <c r="E444" s="42" t="s">
        <v>934</v>
      </c>
      <c r="F444" s="49" t="s">
        <v>724</v>
      </c>
      <c r="G444" s="36" t="s">
        <v>935</v>
      </c>
      <c r="H444" s="44"/>
      <c r="I444" s="44"/>
      <c r="J444" s="44"/>
      <c r="K444" s="44"/>
      <c r="L444" s="44"/>
      <c r="M444" s="44"/>
      <c r="N444" s="36"/>
      <c r="O444" s="36"/>
      <c r="P444" s="45"/>
      <c r="Q444" s="45"/>
      <c r="R444" s="44"/>
      <c r="S444" s="46" t="s">
        <v>33</v>
      </c>
      <c r="T444" s="30" t="str">
        <f>IFERROR(VLOOKUP(O444, '[1]CURSOS 2025'!A:B, 2, FALSE), "")</f>
        <v/>
      </c>
      <c r="U444" s="39">
        <f>SUM(R444:R444)</f>
        <v>0</v>
      </c>
    </row>
    <row r="445" spans="1:21" s="40" customFormat="1" ht="39.950000000000003" customHeight="1" thickBot="1" x14ac:dyDescent="0.35">
      <c r="A445" s="30">
        <f t="array" ref="A445">IF(B445&lt;&gt;"",COUNTIF($B$19:B445,"&lt;&gt;"),"")</f>
        <v>383</v>
      </c>
      <c r="B445" s="41">
        <v>328</v>
      </c>
      <c r="C445" s="42" t="s">
        <v>835</v>
      </c>
      <c r="D445" s="43">
        <v>1678</v>
      </c>
      <c r="E445" s="42" t="s">
        <v>936</v>
      </c>
      <c r="F445" s="49" t="s">
        <v>724</v>
      </c>
      <c r="G445" s="36" t="s">
        <v>937</v>
      </c>
      <c r="H445" s="44"/>
      <c r="I445" s="44"/>
      <c r="J445" s="44"/>
      <c r="K445" s="44"/>
      <c r="L445" s="44"/>
      <c r="M445" s="44"/>
      <c r="N445" s="36"/>
      <c r="O445" s="36"/>
      <c r="P445" s="45"/>
      <c r="Q445" s="45"/>
      <c r="R445" s="44"/>
      <c r="S445" s="44" t="s">
        <v>33</v>
      </c>
      <c r="T445" s="30" t="str">
        <f>IFERROR(VLOOKUP(O445, '[1]CURSOS 2025'!A:B, 2, FALSE), "")</f>
        <v/>
      </c>
      <c r="U445" s="48">
        <f t="shared" ref="U445:U446" si="69">SUM(R445)</f>
        <v>0</v>
      </c>
    </row>
    <row r="446" spans="1:21" s="40" customFormat="1" ht="39.950000000000003" customHeight="1" thickBot="1" x14ac:dyDescent="0.35">
      <c r="A446" s="30">
        <f t="array" ref="A446">IF(B446&lt;&gt;"",COUNTIF($B$19:B446,"&lt;&gt;"),"")</f>
        <v>384</v>
      </c>
      <c r="B446" s="41">
        <v>328</v>
      </c>
      <c r="C446" s="42" t="s">
        <v>835</v>
      </c>
      <c r="D446" s="43">
        <v>3361</v>
      </c>
      <c r="E446" s="42" t="s">
        <v>938</v>
      </c>
      <c r="F446" s="49" t="s">
        <v>724</v>
      </c>
      <c r="G446" s="36" t="s">
        <v>939</v>
      </c>
      <c r="H446" s="44"/>
      <c r="I446" s="44"/>
      <c r="J446" s="44"/>
      <c r="K446" s="44"/>
      <c r="L446" s="44"/>
      <c r="M446" s="44"/>
      <c r="N446" s="36"/>
      <c r="O446" s="36"/>
      <c r="P446" s="45"/>
      <c r="Q446" s="45"/>
      <c r="R446" s="44"/>
      <c r="S446" s="44" t="s">
        <v>33</v>
      </c>
      <c r="T446" s="30" t="str">
        <f>IFERROR(VLOOKUP(O446, '[1]CURSOS 2025'!A:B, 2, FALSE), "")</f>
        <v/>
      </c>
      <c r="U446" s="48">
        <f t="shared" si="69"/>
        <v>0</v>
      </c>
    </row>
    <row r="447" spans="1:21" s="40" customFormat="1" ht="39.950000000000003" customHeight="1" thickBot="1" x14ac:dyDescent="0.35">
      <c r="A447" s="30">
        <f t="array" ref="A447">IF(B447&lt;&gt;"",COUNTIF($B$19:B447,"&lt;&gt;"),"")</f>
        <v>385</v>
      </c>
      <c r="B447" s="41">
        <v>328</v>
      </c>
      <c r="C447" s="42" t="s">
        <v>835</v>
      </c>
      <c r="D447" s="43">
        <v>3766</v>
      </c>
      <c r="E447" s="42" t="s">
        <v>940</v>
      </c>
      <c r="F447" s="49" t="s">
        <v>724</v>
      </c>
      <c r="G447" s="36" t="s">
        <v>941</v>
      </c>
      <c r="H447" s="44"/>
      <c r="I447" s="44"/>
      <c r="J447" s="44"/>
      <c r="K447" s="44" t="s">
        <v>231</v>
      </c>
      <c r="L447" s="44" t="s">
        <v>231</v>
      </c>
      <c r="M447" s="44" t="s">
        <v>231</v>
      </c>
      <c r="N447" s="36" t="s">
        <v>1537</v>
      </c>
      <c r="O447" s="36" t="s">
        <v>1714</v>
      </c>
      <c r="P447" s="45">
        <v>46070</v>
      </c>
      <c r="Q447" s="45">
        <v>46070</v>
      </c>
      <c r="R447" s="44">
        <v>2</v>
      </c>
      <c r="S447" s="46" t="s">
        <v>33</v>
      </c>
      <c r="T447" s="30" t="s">
        <v>234</v>
      </c>
      <c r="U447" s="68">
        <f>SUM(R447:R447)</f>
        <v>2</v>
      </c>
    </row>
    <row r="448" spans="1:21" s="40" customFormat="1" ht="39.950000000000003" customHeight="1" thickBot="1" x14ac:dyDescent="0.35">
      <c r="A448" s="30">
        <f t="array" ref="A448">IF(B448&lt;&gt;"",COUNTIF($B$19:B448,"&lt;&gt;"),"")</f>
        <v>386</v>
      </c>
      <c r="B448" s="41">
        <v>328</v>
      </c>
      <c r="C448" s="42" t="s">
        <v>835</v>
      </c>
      <c r="D448" s="43">
        <v>1634</v>
      </c>
      <c r="E448" s="42" t="s">
        <v>942</v>
      </c>
      <c r="F448" s="49" t="s">
        <v>724</v>
      </c>
      <c r="G448" s="36" t="s">
        <v>943</v>
      </c>
      <c r="H448" s="44"/>
      <c r="I448" s="44"/>
      <c r="J448" s="44"/>
      <c r="K448" s="44"/>
      <c r="L448" s="44"/>
      <c r="M448" s="44"/>
      <c r="N448" s="36"/>
      <c r="O448" s="36"/>
      <c r="P448" s="45"/>
      <c r="Q448" s="45"/>
      <c r="R448" s="44"/>
      <c r="S448" s="44" t="s">
        <v>33</v>
      </c>
      <c r="T448" s="30" t="str">
        <f>IFERROR(VLOOKUP(O448, '[1]CURSOS 2025'!A:B, 2, FALSE), "")</f>
        <v/>
      </c>
      <c r="U448" s="48">
        <f t="shared" ref="U448:U450" si="70">SUM(R448)</f>
        <v>0</v>
      </c>
    </row>
    <row r="449" spans="1:21" s="40" customFormat="1" ht="39.950000000000003" customHeight="1" thickBot="1" x14ac:dyDescent="0.35">
      <c r="A449" s="30">
        <f t="array" ref="A449">IF(B449&lt;&gt;"",COUNTIF($B$19:B449,"&lt;&gt;"),"")</f>
        <v>387</v>
      </c>
      <c r="B449" s="41">
        <v>328</v>
      </c>
      <c r="C449" s="42" t="s">
        <v>835</v>
      </c>
      <c r="D449" s="43">
        <v>3097</v>
      </c>
      <c r="E449" s="42" t="s">
        <v>944</v>
      </c>
      <c r="F449" s="49" t="s">
        <v>724</v>
      </c>
      <c r="G449" s="36" t="s">
        <v>945</v>
      </c>
      <c r="H449" s="44"/>
      <c r="I449" s="44"/>
      <c r="J449" s="44"/>
      <c r="K449" s="44"/>
      <c r="L449" s="44"/>
      <c r="M449" s="44"/>
      <c r="N449" s="36"/>
      <c r="O449" s="36"/>
      <c r="P449" s="45"/>
      <c r="Q449" s="45"/>
      <c r="R449" s="44"/>
      <c r="S449" s="44" t="s">
        <v>33</v>
      </c>
      <c r="T449" s="30" t="str">
        <f>IFERROR(VLOOKUP(O449, '[1]CURSOS 2025'!A:B, 2, FALSE), "")</f>
        <v/>
      </c>
      <c r="U449" s="48">
        <f t="shared" si="70"/>
        <v>0</v>
      </c>
    </row>
    <row r="450" spans="1:21" s="40" customFormat="1" ht="39.950000000000003" customHeight="1" thickBot="1" x14ac:dyDescent="0.35">
      <c r="A450" s="30">
        <f t="array" ref="A450">IF(B450&lt;&gt;"",COUNTIF($B$19:B450,"&lt;&gt;"),"")</f>
        <v>388</v>
      </c>
      <c r="B450" s="41">
        <v>329</v>
      </c>
      <c r="C450" s="42" t="s">
        <v>912</v>
      </c>
      <c r="D450" s="43">
        <v>3642</v>
      </c>
      <c r="E450" s="42" t="s">
        <v>946</v>
      </c>
      <c r="F450" s="49" t="s">
        <v>724</v>
      </c>
      <c r="G450" s="36" t="s">
        <v>947</v>
      </c>
      <c r="H450" s="44"/>
      <c r="I450" s="44"/>
      <c r="J450" s="44"/>
      <c r="K450" s="44"/>
      <c r="L450" s="44"/>
      <c r="M450" s="44"/>
      <c r="N450" s="36"/>
      <c r="O450" s="36"/>
      <c r="P450" s="45"/>
      <c r="Q450" s="45"/>
      <c r="R450" s="44"/>
      <c r="S450" s="44" t="s">
        <v>33</v>
      </c>
      <c r="T450" s="30" t="str">
        <f>IFERROR(VLOOKUP(O450, '[1]CURSOS 2025'!A:B, 2, FALSE), "")</f>
        <v/>
      </c>
      <c r="U450" s="48">
        <f t="shared" si="70"/>
        <v>0</v>
      </c>
    </row>
    <row r="451" spans="1:21" s="40" customFormat="1" ht="39.950000000000003" customHeight="1" thickBot="1" x14ac:dyDescent="0.35">
      <c r="A451" s="30">
        <f t="array" ref="A451">IF(B451&lt;&gt;"",COUNTIF($B$19:B451,"&lt;&gt;"),"")</f>
        <v>389</v>
      </c>
      <c r="B451" s="41">
        <v>328</v>
      </c>
      <c r="C451" s="42" t="s">
        <v>912</v>
      </c>
      <c r="D451" s="43">
        <v>3272</v>
      </c>
      <c r="E451" s="42" t="s">
        <v>948</v>
      </c>
      <c r="F451" s="49" t="s">
        <v>724</v>
      </c>
      <c r="G451" s="36" t="s">
        <v>949</v>
      </c>
      <c r="H451" s="44"/>
      <c r="I451" s="44"/>
      <c r="J451" s="44"/>
      <c r="K451" s="44"/>
      <c r="L451" s="44"/>
      <c r="M451" s="44"/>
      <c r="N451" s="36"/>
      <c r="O451" s="36"/>
      <c r="P451" s="45"/>
      <c r="Q451" s="45"/>
      <c r="R451" s="44"/>
      <c r="S451" s="46" t="s">
        <v>33</v>
      </c>
      <c r="T451" s="30" t="str">
        <f>IFERROR(VLOOKUP(O451, '[1]CURSOS 2025'!A:B, 2, FALSE), "")</f>
        <v/>
      </c>
      <c r="U451" s="39">
        <f>SUM(R451:R451)</f>
        <v>0</v>
      </c>
    </row>
    <row r="452" spans="1:21" s="40" customFormat="1" ht="39.950000000000003" customHeight="1" thickBot="1" x14ac:dyDescent="0.35">
      <c r="A452" s="30">
        <f t="array" ref="A452">IF(B452&lt;&gt;"",COUNTIF($B$19:B452,"&lt;&gt;"),"")</f>
        <v>390</v>
      </c>
      <c r="B452" s="41">
        <v>329</v>
      </c>
      <c r="C452" s="42" t="s">
        <v>912</v>
      </c>
      <c r="D452" s="43">
        <v>3243</v>
      </c>
      <c r="E452" s="42" t="s">
        <v>950</v>
      </c>
      <c r="F452" s="49" t="s">
        <v>724</v>
      </c>
      <c r="G452" s="36" t="s">
        <v>951</v>
      </c>
      <c r="H452" s="44"/>
      <c r="I452" s="44"/>
      <c r="J452" s="44"/>
      <c r="K452" s="44"/>
      <c r="L452" s="44"/>
      <c r="M452" s="44"/>
      <c r="N452" s="36"/>
      <c r="O452" s="36"/>
      <c r="P452" s="45"/>
      <c r="Q452" s="45"/>
      <c r="R452" s="44"/>
      <c r="S452" s="46" t="s">
        <v>33</v>
      </c>
      <c r="T452" s="30" t="str">
        <f>IFERROR(VLOOKUP(O452, '[1]CURSOS 2025'!A:B, 2, FALSE), "")</f>
        <v/>
      </c>
      <c r="U452" s="39">
        <f>SUM(R452:R452)</f>
        <v>0</v>
      </c>
    </row>
    <row r="453" spans="1:21" s="40" customFormat="1" ht="39.950000000000003" customHeight="1" thickBot="1" x14ac:dyDescent="0.35">
      <c r="A453" s="30">
        <f t="array" ref="A453">IF(B453&lt;&gt;"",COUNTIF($B$19:B453,"&lt;&gt;"),"")</f>
        <v>391</v>
      </c>
      <c r="B453" s="41">
        <v>328</v>
      </c>
      <c r="C453" s="42" t="s">
        <v>912</v>
      </c>
      <c r="D453" s="43">
        <v>3798</v>
      </c>
      <c r="E453" s="42" t="s">
        <v>952</v>
      </c>
      <c r="F453" s="49" t="s">
        <v>724</v>
      </c>
      <c r="G453" s="36" t="s">
        <v>953</v>
      </c>
      <c r="H453" s="44"/>
      <c r="I453" s="44"/>
      <c r="J453" s="44"/>
      <c r="K453" s="44"/>
      <c r="L453" s="44"/>
      <c r="M453" s="44"/>
      <c r="N453" s="36"/>
      <c r="O453" s="36"/>
      <c r="P453" s="45"/>
      <c r="Q453" s="45"/>
      <c r="R453" s="44"/>
      <c r="S453" s="46" t="s">
        <v>33</v>
      </c>
      <c r="T453" s="30" t="str">
        <f>IFERROR(VLOOKUP(O453, '[1]CURSOS 2025'!A:B, 2, FALSE), "")</f>
        <v/>
      </c>
      <c r="U453" s="39">
        <f>SUM(R453:R453)</f>
        <v>0</v>
      </c>
    </row>
    <row r="454" spans="1:21" s="40" customFormat="1" ht="39.950000000000003" customHeight="1" thickBot="1" x14ac:dyDescent="0.35">
      <c r="A454" s="30">
        <f t="array" ref="A454">IF(B454&lt;&gt;"",COUNTIF($B$19:B454,"&lt;&gt;"),"")</f>
        <v>392</v>
      </c>
      <c r="B454" s="41">
        <v>328</v>
      </c>
      <c r="C454" s="42" t="s">
        <v>912</v>
      </c>
      <c r="D454" s="43">
        <v>3218</v>
      </c>
      <c r="E454" s="42" t="s">
        <v>954</v>
      </c>
      <c r="F454" s="49" t="s">
        <v>724</v>
      </c>
      <c r="G454" s="36" t="s">
        <v>955</v>
      </c>
      <c r="H454" s="44"/>
      <c r="I454" s="44"/>
      <c r="J454" s="44"/>
      <c r="K454" s="44"/>
      <c r="L454" s="44"/>
      <c r="M454" s="44"/>
      <c r="N454" s="36"/>
      <c r="O454" s="36"/>
      <c r="P454" s="45"/>
      <c r="Q454" s="45"/>
      <c r="R454" s="44"/>
      <c r="S454" s="46" t="s">
        <v>33</v>
      </c>
      <c r="T454" s="30" t="str">
        <f>IFERROR(VLOOKUP(O454, '[1]CURSOS 2025'!A:B, 2, FALSE), "")</f>
        <v/>
      </c>
      <c r="U454" s="39">
        <f t="shared" ref="U454" si="71">SUM(R454)</f>
        <v>0</v>
      </c>
    </row>
    <row r="455" spans="1:21" s="40" customFormat="1" ht="39.950000000000003" customHeight="1" thickBot="1" x14ac:dyDescent="0.35">
      <c r="A455" s="30">
        <f t="array" ref="A455">IF(B455&lt;&gt;"",COUNTIF($B$19:B455,"&lt;&gt;"),"")</f>
        <v>393</v>
      </c>
      <c r="B455" s="41">
        <v>328</v>
      </c>
      <c r="C455" s="42" t="s">
        <v>912</v>
      </c>
      <c r="D455" s="43">
        <v>3448</v>
      </c>
      <c r="E455" s="42" t="s">
        <v>956</v>
      </c>
      <c r="F455" s="49" t="s">
        <v>724</v>
      </c>
      <c r="G455" s="36" t="s">
        <v>957</v>
      </c>
      <c r="H455" s="44"/>
      <c r="I455" s="44"/>
      <c r="J455" s="44"/>
      <c r="K455" s="44"/>
      <c r="L455" s="44"/>
      <c r="M455" s="44"/>
      <c r="N455" s="36"/>
      <c r="O455" s="36"/>
      <c r="P455" s="45"/>
      <c r="Q455" s="45"/>
      <c r="R455" s="44"/>
      <c r="S455" s="46" t="s">
        <v>33</v>
      </c>
      <c r="T455" s="30" t="str">
        <f>IFERROR(VLOOKUP(O455, '[1]CURSOS 2025'!A:B, 2, FALSE), "")</f>
        <v/>
      </c>
      <c r="U455" s="39">
        <f>SUM(R455:R455)</f>
        <v>0</v>
      </c>
    </row>
    <row r="456" spans="1:21" s="40" customFormat="1" ht="39.950000000000003" customHeight="1" thickBot="1" x14ac:dyDescent="0.35">
      <c r="A456" s="30">
        <f t="array" ref="A456">IF(B456&lt;&gt;"",COUNTIF($B$19:B456,"&lt;&gt;"),"")</f>
        <v>394</v>
      </c>
      <c r="B456" s="41">
        <v>329</v>
      </c>
      <c r="C456" s="42" t="s">
        <v>912</v>
      </c>
      <c r="D456" s="43">
        <v>3186</v>
      </c>
      <c r="E456" s="42" t="s">
        <v>958</v>
      </c>
      <c r="F456" s="49" t="s">
        <v>724</v>
      </c>
      <c r="G456" s="36" t="s">
        <v>959</v>
      </c>
      <c r="H456" s="44"/>
      <c r="I456" s="44"/>
      <c r="J456" s="44"/>
      <c r="K456" s="44"/>
      <c r="L456" s="44"/>
      <c r="M456" s="44"/>
      <c r="N456" s="36"/>
      <c r="O456" s="36"/>
      <c r="P456" s="45"/>
      <c r="Q456" s="45"/>
      <c r="R456" s="44"/>
      <c r="S456" s="46" t="s">
        <v>33</v>
      </c>
      <c r="T456" s="30" t="str">
        <f>IFERROR(VLOOKUP(O456, '[1]CURSOS 2025'!A:B, 2, FALSE), "")</f>
        <v/>
      </c>
      <c r="U456" s="39">
        <f>SUM(R456:R456)</f>
        <v>0</v>
      </c>
    </row>
    <row r="457" spans="1:21" s="40" customFormat="1" ht="39.950000000000003" customHeight="1" thickBot="1" x14ac:dyDescent="0.35">
      <c r="A457" s="30">
        <f t="array" ref="A457">IF(B457&lt;&gt;"",COUNTIF($B$19:B457,"&lt;&gt;"),"")</f>
        <v>395</v>
      </c>
      <c r="B457" s="41">
        <v>328</v>
      </c>
      <c r="C457" s="42" t="s">
        <v>912</v>
      </c>
      <c r="D457" s="43">
        <v>3717</v>
      </c>
      <c r="E457" s="42" t="s">
        <v>960</v>
      </c>
      <c r="F457" s="49" t="s">
        <v>724</v>
      </c>
      <c r="G457" s="36" t="s">
        <v>961</v>
      </c>
      <c r="H457" s="44"/>
      <c r="I457" s="44"/>
      <c r="J457" s="44"/>
      <c r="K457" s="44"/>
      <c r="L457" s="44"/>
      <c r="M457" s="44"/>
      <c r="N457" s="36"/>
      <c r="O457" s="36"/>
      <c r="P457" s="45"/>
      <c r="Q457" s="45"/>
      <c r="R457" s="44"/>
      <c r="S457" s="44" t="s">
        <v>33</v>
      </c>
      <c r="T457" s="30" t="str">
        <f>IFERROR(VLOOKUP(O457, '[1]CURSOS 2025'!A:B, 2, FALSE), "")</f>
        <v/>
      </c>
      <c r="U457" s="48">
        <f t="shared" ref="U457" si="72">SUM(R457)</f>
        <v>0</v>
      </c>
    </row>
    <row r="458" spans="1:21" s="40" customFormat="1" ht="39.950000000000003" customHeight="1" thickBot="1" x14ac:dyDescent="0.35">
      <c r="A458" s="30">
        <f t="array" ref="A458">IF(B458&lt;&gt;"",COUNTIF($B$19:B458,"&lt;&gt;"),"")</f>
        <v>396</v>
      </c>
      <c r="B458" s="41">
        <v>328</v>
      </c>
      <c r="C458" s="42" t="s">
        <v>912</v>
      </c>
      <c r="D458" s="43">
        <v>3096</v>
      </c>
      <c r="E458" s="42" t="s">
        <v>962</v>
      </c>
      <c r="F458" s="49" t="s">
        <v>724</v>
      </c>
      <c r="G458" s="36" t="s">
        <v>963</v>
      </c>
      <c r="H458" s="44"/>
      <c r="I458" s="44"/>
      <c r="J458" s="44"/>
      <c r="K458" s="44"/>
      <c r="L458" s="44"/>
      <c r="M458" s="44"/>
      <c r="N458" s="36"/>
      <c r="O458" s="36"/>
      <c r="P458" s="45"/>
      <c r="Q458" s="45"/>
      <c r="R458" s="44"/>
      <c r="S458" s="46" t="s">
        <v>33</v>
      </c>
      <c r="T458" s="30" t="str">
        <f>IFERROR(VLOOKUP(O458, '[1]CURSOS 2025'!A:B, 2, FALSE), "")</f>
        <v/>
      </c>
      <c r="U458" s="39">
        <f t="shared" ref="U458:U467" si="73">SUM(R458:R458)</f>
        <v>0</v>
      </c>
    </row>
    <row r="459" spans="1:21" s="40" customFormat="1" ht="39.950000000000003" customHeight="1" thickBot="1" x14ac:dyDescent="0.35">
      <c r="A459" s="30">
        <f t="array" ref="A459">IF(B459&lt;&gt;"",COUNTIF($B$19:B459,"&lt;&gt;"),"")</f>
        <v>397</v>
      </c>
      <c r="B459" s="41">
        <v>328</v>
      </c>
      <c r="C459" s="42" t="s">
        <v>912</v>
      </c>
      <c r="D459" s="43">
        <v>3092</v>
      </c>
      <c r="E459" s="42" t="s">
        <v>964</v>
      </c>
      <c r="F459" s="49" t="s">
        <v>724</v>
      </c>
      <c r="G459" s="36" t="s">
        <v>965</v>
      </c>
      <c r="H459" s="44"/>
      <c r="I459" s="44"/>
      <c r="J459" s="44"/>
      <c r="K459" s="44"/>
      <c r="L459" s="44"/>
      <c r="M459" s="44"/>
      <c r="N459" s="36"/>
      <c r="O459" s="36"/>
      <c r="P459" s="45"/>
      <c r="Q459" s="45"/>
      <c r="R459" s="44"/>
      <c r="S459" s="46" t="s">
        <v>33</v>
      </c>
      <c r="T459" s="30" t="str">
        <f>IFERROR(VLOOKUP(O459, '[1]CURSOS 2025'!A:B, 2, FALSE), "")</f>
        <v/>
      </c>
      <c r="U459" s="39">
        <f t="shared" si="73"/>
        <v>0</v>
      </c>
    </row>
    <row r="460" spans="1:21" s="40" customFormat="1" ht="39.950000000000003" customHeight="1" thickBot="1" x14ac:dyDescent="0.35">
      <c r="A460" s="30">
        <f t="array" ref="A460">IF(B460&lt;&gt;"",COUNTIF($B$19:B460,"&lt;&gt;"),"")</f>
        <v>398</v>
      </c>
      <c r="B460" s="41">
        <v>328</v>
      </c>
      <c r="C460" s="42" t="s">
        <v>912</v>
      </c>
      <c r="D460" s="43">
        <v>3602</v>
      </c>
      <c r="E460" s="42" t="s">
        <v>966</v>
      </c>
      <c r="F460" s="49" t="s">
        <v>724</v>
      </c>
      <c r="G460" s="36" t="s">
        <v>967</v>
      </c>
      <c r="H460" s="44"/>
      <c r="I460" s="44"/>
      <c r="J460" s="44"/>
      <c r="K460" s="44"/>
      <c r="L460" s="44"/>
      <c r="M460" s="44"/>
      <c r="N460" s="36"/>
      <c r="O460" s="36"/>
      <c r="P460" s="45"/>
      <c r="Q460" s="45"/>
      <c r="R460" s="44"/>
      <c r="S460" s="46" t="s">
        <v>33</v>
      </c>
      <c r="T460" s="30" t="str">
        <f>IFERROR(VLOOKUP(O460, '[1]CURSOS 2025'!A:B, 2, FALSE), "")</f>
        <v/>
      </c>
      <c r="U460" s="39">
        <f t="shared" si="73"/>
        <v>0</v>
      </c>
    </row>
    <row r="461" spans="1:21" s="40" customFormat="1" ht="39.950000000000003" customHeight="1" thickBot="1" x14ac:dyDescent="0.35">
      <c r="A461" s="30">
        <f t="array" ref="A461">IF(B461&lt;&gt;"",COUNTIF($B$19:B461,"&lt;&gt;"),"")</f>
        <v>399</v>
      </c>
      <c r="B461" s="41">
        <v>328</v>
      </c>
      <c r="C461" s="42" t="s">
        <v>912</v>
      </c>
      <c r="D461" s="43">
        <v>1852</v>
      </c>
      <c r="E461" s="42" t="s">
        <v>968</v>
      </c>
      <c r="F461" s="49" t="s">
        <v>724</v>
      </c>
      <c r="G461" s="36" t="s">
        <v>969</v>
      </c>
      <c r="H461" s="44"/>
      <c r="I461" s="44"/>
      <c r="J461" s="44"/>
      <c r="K461" s="44"/>
      <c r="L461" s="44"/>
      <c r="M461" s="44"/>
      <c r="N461" s="36"/>
      <c r="O461" s="36"/>
      <c r="P461" s="45"/>
      <c r="Q461" s="45"/>
      <c r="R461" s="44"/>
      <c r="S461" s="46" t="s">
        <v>33</v>
      </c>
      <c r="T461" s="30" t="str">
        <f>IFERROR(VLOOKUP(O461, '[1]CURSOS 2025'!A:B, 2, FALSE), "")</f>
        <v/>
      </c>
      <c r="U461" s="39">
        <f t="shared" si="73"/>
        <v>0</v>
      </c>
    </row>
    <row r="462" spans="1:21" s="40" customFormat="1" ht="39.950000000000003" customHeight="1" thickBot="1" x14ac:dyDescent="0.35">
      <c r="A462" s="30">
        <f t="array" ref="A462">IF(B462&lt;&gt;"",COUNTIF($B$19:B462,"&lt;&gt;"),"")</f>
        <v>400</v>
      </c>
      <c r="B462" s="41">
        <v>328</v>
      </c>
      <c r="C462" s="42" t="s">
        <v>912</v>
      </c>
      <c r="D462" s="43">
        <v>3621</v>
      </c>
      <c r="E462" s="42" t="s">
        <v>970</v>
      </c>
      <c r="F462" s="49" t="s">
        <v>724</v>
      </c>
      <c r="G462" s="36" t="s">
        <v>971</v>
      </c>
      <c r="H462" s="44"/>
      <c r="I462" s="44"/>
      <c r="J462" s="44"/>
      <c r="K462" s="44"/>
      <c r="L462" s="44"/>
      <c r="M462" s="44"/>
      <c r="N462" s="36"/>
      <c r="O462" s="36"/>
      <c r="P462" s="45"/>
      <c r="Q462" s="45"/>
      <c r="R462" s="44"/>
      <c r="S462" s="46" t="s">
        <v>33</v>
      </c>
      <c r="T462" s="30" t="str">
        <f>IFERROR(VLOOKUP(O462, '[1]CURSOS 2025'!A:B, 2, FALSE), "")</f>
        <v/>
      </c>
      <c r="U462" s="39">
        <f t="shared" si="73"/>
        <v>0</v>
      </c>
    </row>
    <row r="463" spans="1:21" s="40" customFormat="1" ht="39.950000000000003" customHeight="1" thickBot="1" x14ac:dyDescent="0.35">
      <c r="A463" s="30">
        <f t="array" ref="A463">IF(B463&lt;&gt;"",COUNTIF($B$19:B463,"&lt;&gt;"),"")</f>
        <v>401</v>
      </c>
      <c r="B463" s="41">
        <v>328</v>
      </c>
      <c r="C463" s="42" t="s">
        <v>912</v>
      </c>
      <c r="D463" s="43">
        <v>3697</v>
      </c>
      <c r="E463" s="42" t="s">
        <v>972</v>
      </c>
      <c r="F463" s="49" t="s">
        <v>724</v>
      </c>
      <c r="G463" s="36" t="s">
        <v>973</v>
      </c>
      <c r="H463" s="44"/>
      <c r="I463" s="44"/>
      <c r="J463" s="44"/>
      <c r="K463" s="44"/>
      <c r="L463" s="44"/>
      <c r="M463" s="44"/>
      <c r="N463" s="36"/>
      <c r="O463" s="36"/>
      <c r="P463" s="45"/>
      <c r="Q463" s="45"/>
      <c r="R463" s="44"/>
      <c r="S463" s="46" t="s">
        <v>33</v>
      </c>
      <c r="T463" s="30" t="str">
        <f>IFERROR(VLOOKUP(O463, '[1]CURSOS 2025'!A:B, 2, FALSE), "")</f>
        <v/>
      </c>
      <c r="U463" s="39">
        <f t="shared" si="73"/>
        <v>0</v>
      </c>
    </row>
    <row r="464" spans="1:21" s="40" customFormat="1" ht="39.950000000000003" customHeight="1" thickBot="1" x14ac:dyDescent="0.35">
      <c r="A464" s="30">
        <f t="array" ref="A464">IF(B464&lt;&gt;"",COUNTIF($B$19:B464,"&lt;&gt;"),"")</f>
        <v>402</v>
      </c>
      <c r="B464" s="41">
        <v>328</v>
      </c>
      <c r="C464" s="42" t="s">
        <v>912</v>
      </c>
      <c r="D464" s="43">
        <v>3657</v>
      </c>
      <c r="E464" s="42" t="s">
        <v>974</v>
      </c>
      <c r="F464" s="49" t="s">
        <v>724</v>
      </c>
      <c r="G464" s="36" t="s">
        <v>975</v>
      </c>
      <c r="H464" s="44"/>
      <c r="I464" s="44"/>
      <c r="J464" s="44"/>
      <c r="K464" s="44"/>
      <c r="L464" s="44"/>
      <c r="M464" s="44"/>
      <c r="N464" s="36"/>
      <c r="O464" s="36"/>
      <c r="P464" s="45"/>
      <c r="Q464" s="45"/>
      <c r="R464" s="44"/>
      <c r="S464" s="46" t="s">
        <v>33</v>
      </c>
      <c r="T464" s="30" t="str">
        <f>IFERROR(VLOOKUP(O464, '[1]CURSOS 2025'!A:B, 2, FALSE), "")</f>
        <v/>
      </c>
      <c r="U464" s="39">
        <f t="shared" si="73"/>
        <v>0</v>
      </c>
    </row>
    <row r="465" spans="1:21" s="40" customFormat="1" ht="39.950000000000003" customHeight="1" thickBot="1" x14ac:dyDescent="0.35">
      <c r="A465" s="30">
        <f t="array" ref="A465">IF(B465&lt;&gt;"",COUNTIF($B$19:B465,"&lt;&gt;"),"")</f>
        <v>403</v>
      </c>
      <c r="B465" s="41">
        <v>328</v>
      </c>
      <c r="C465" s="42" t="s">
        <v>912</v>
      </c>
      <c r="D465" s="43">
        <v>3710</v>
      </c>
      <c r="E465" s="42" t="s">
        <v>976</v>
      </c>
      <c r="F465" s="49" t="s">
        <v>724</v>
      </c>
      <c r="G465" s="36" t="s">
        <v>977</v>
      </c>
      <c r="H465" s="44"/>
      <c r="I465" s="44"/>
      <c r="J465" s="44"/>
      <c r="K465" s="44"/>
      <c r="L465" s="44"/>
      <c r="M465" s="44"/>
      <c r="N465" s="36"/>
      <c r="O465" s="36"/>
      <c r="P465" s="45"/>
      <c r="Q465" s="45"/>
      <c r="R465" s="44"/>
      <c r="S465" s="46" t="s">
        <v>33</v>
      </c>
      <c r="T465" s="30" t="str">
        <f>IFERROR(VLOOKUP(O465, '[1]CURSOS 2025'!A:B, 2, FALSE), "")</f>
        <v/>
      </c>
      <c r="U465" s="39">
        <f t="shared" si="73"/>
        <v>0</v>
      </c>
    </row>
    <row r="466" spans="1:21" s="40" customFormat="1" ht="39.950000000000003" customHeight="1" thickBot="1" x14ac:dyDescent="0.35">
      <c r="A466" s="30">
        <f t="array" ref="A466">IF(B466&lt;&gt;"",COUNTIF($B$19:B466,"&lt;&gt;"),"")</f>
        <v>404</v>
      </c>
      <c r="B466" s="41">
        <v>329</v>
      </c>
      <c r="C466" s="42" t="s">
        <v>912</v>
      </c>
      <c r="D466" s="43">
        <v>1696</v>
      </c>
      <c r="E466" s="42" t="s">
        <v>978</v>
      </c>
      <c r="F466" s="49" t="s">
        <v>724</v>
      </c>
      <c r="G466" s="36" t="s">
        <v>979</v>
      </c>
      <c r="H466" s="44"/>
      <c r="I466" s="44"/>
      <c r="J466" s="44"/>
      <c r="K466" s="44"/>
      <c r="L466" s="44"/>
      <c r="M466" s="44"/>
      <c r="N466" s="36"/>
      <c r="O466" s="36"/>
      <c r="P466" s="45"/>
      <c r="Q466" s="45"/>
      <c r="R466" s="44"/>
      <c r="S466" s="46" t="s">
        <v>33</v>
      </c>
      <c r="T466" s="30" t="str">
        <f>IFERROR(VLOOKUP(O466, '[1]CURSOS 2025'!A:B, 2, FALSE), "")</f>
        <v/>
      </c>
      <c r="U466" s="39">
        <f t="shared" si="73"/>
        <v>0</v>
      </c>
    </row>
    <row r="467" spans="1:21" s="40" customFormat="1" ht="39.950000000000003" customHeight="1" thickBot="1" x14ac:dyDescent="0.35">
      <c r="A467" s="30">
        <f t="array" ref="A467">IF(B467&lt;&gt;"",COUNTIF($B$19:B467,"&lt;&gt;"),"")</f>
        <v>405</v>
      </c>
      <c r="B467" s="41">
        <v>329</v>
      </c>
      <c r="C467" s="42" t="s">
        <v>912</v>
      </c>
      <c r="D467" s="43">
        <v>1653</v>
      </c>
      <c r="E467" s="42" t="s">
        <v>980</v>
      </c>
      <c r="F467" s="49" t="s">
        <v>724</v>
      </c>
      <c r="G467" s="36" t="s">
        <v>981</v>
      </c>
      <c r="H467" s="44"/>
      <c r="I467" s="44"/>
      <c r="J467" s="44"/>
      <c r="K467" s="44"/>
      <c r="L467" s="44"/>
      <c r="M467" s="44"/>
      <c r="N467" s="36"/>
      <c r="O467" s="36"/>
      <c r="P467" s="45"/>
      <c r="Q467" s="45"/>
      <c r="R467" s="44"/>
      <c r="S467" s="46" t="s">
        <v>33</v>
      </c>
      <c r="T467" s="30" t="str">
        <f>IFERROR(VLOOKUP(O467, '[1]CURSOS 2025'!A:B, 2, FALSE), "")</f>
        <v/>
      </c>
      <c r="U467" s="39">
        <f t="shared" si="73"/>
        <v>0</v>
      </c>
    </row>
    <row r="468" spans="1:21" s="40" customFormat="1" ht="39.950000000000003" customHeight="1" thickBot="1" x14ac:dyDescent="0.35">
      <c r="A468" s="30">
        <f t="array" ref="A468">IF(B468&lt;&gt;"",COUNTIF($B$19:B468,"&lt;&gt;"),"")</f>
        <v>406</v>
      </c>
      <c r="B468" s="41">
        <v>328</v>
      </c>
      <c r="C468" s="42" t="s">
        <v>912</v>
      </c>
      <c r="D468" s="43" t="s">
        <v>982</v>
      </c>
      <c r="E468" s="42" t="s">
        <v>983</v>
      </c>
      <c r="F468" s="49" t="s">
        <v>724</v>
      </c>
      <c r="G468" s="36" t="s">
        <v>984</v>
      </c>
      <c r="H468" s="44"/>
      <c r="I468" s="44"/>
      <c r="J468" s="44"/>
      <c r="K468" s="44"/>
      <c r="L468" s="44"/>
      <c r="M468" s="44"/>
      <c r="N468" s="36"/>
      <c r="O468" s="36"/>
      <c r="P468" s="45"/>
      <c r="Q468" s="45"/>
      <c r="R468" s="44"/>
      <c r="S468" s="46" t="s">
        <v>33</v>
      </c>
      <c r="T468" s="30" t="str">
        <f>IFERROR(VLOOKUP(O468, '[1]CURSOS 2025'!A:B, 2, FALSE), "")</f>
        <v/>
      </c>
      <c r="U468" s="48">
        <f t="shared" ref="U468" si="74">SUM(R468)</f>
        <v>0</v>
      </c>
    </row>
    <row r="469" spans="1:21" s="40" customFormat="1" ht="39.950000000000003" customHeight="1" thickBot="1" x14ac:dyDescent="0.35">
      <c r="A469" s="30">
        <f t="array" ref="A469">IF(B469&lt;&gt;"",COUNTIF($B$19:B469,"&lt;&gt;"),"")</f>
        <v>407</v>
      </c>
      <c r="B469" s="41">
        <v>329</v>
      </c>
      <c r="C469" s="42" t="s">
        <v>912</v>
      </c>
      <c r="D469" s="43">
        <v>1482</v>
      </c>
      <c r="E469" s="42" t="s">
        <v>985</v>
      </c>
      <c r="F469" s="49" t="s">
        <v>724</v>
      </c>
      <c r="G469" s="36" t="s">
        <v>986</v>
      </c>
      <c r="H469" s="44"/>
      <c r="I469" s="44"/>
      <c r="J469" s="44"/>
      <c r="K469" s="44"/>
      <c r="L469" s="44"/>
      <c r="M469" s="44"/>
      <c r="N469" s="36"/>
      <c r="O469" s="36"/>
      <c r="P469" s="45"/>
      <c r="Q469" s="45"/>
      <c r="R469" s="44"/>
      <c r="S469" s="46" t="s">
        <v>33</v>
      </c>
      <c r="T469" s="30" t="str">
        <f>IFERROR(VLOOKUP(O469, '[1]CURSOS 2025'!A:B, 2, FALSE), "")</f>
        <v/>
      </c>
      <c r="U469" s="39">
        <f>SUM(R469:R469)</f>
        <v>0</v>
      </c>
    </row>
    <row r="470" spans="1:21" s="40" customFormat="1" ht="39.950000000000003" customHeight="1" thickBot="1" x14ac:dyDescent="0.35">
      <c r="A470" s="30">
        <f t="array" ref="A470">IF(B470&lt;&gt;"",COUNTIF($B$19:B470,"&lt;&gt;"),"")</f>
        <v>408</v>
      </c>
      <c r="B470" s="41">
        <v>329</v>
      </c>
      <c r="C470" s="42" t="s">
        <v>912</v>
      </c>
      <c r="D470" s="43">
        <v>1440</v>
      </c>
      <c r="E470" s="42" t="s">
        <v>987</v>
      </c>
      <c r="F470" s="49" t="s">
        <v>724</v>
      </c>
      <c r="G470" s="36" t="s">
        <v>988</v>
      </c>
      <c r="H470" s="44"/>
      <c r="I470" s="44"/>
      <c r="J470" s="44"/>
      <c r="K470" s="44"/>
      <c r="L470" s="44"/>
      <c r="M470" s="44"/>
      <c r="N470" s="36"/>
      <c r="O470" s="36"/>
      <c r="P470" s="45"/>
      <c r="Q470" s="45"/>
      <c r="R470" s="44"/>
      <c r="S470" s="46" t="s">
        <v>33</v>
      </c>
      <c r="T470" s="30" t="str">
        <f>IFERROR(VLOOKUP(O470, '[1]CURSOS 2025'!A:B, 2, FALSE), "")</f>
        <v/>
      </c>
      <c r="U470" s="39">
        <f>SUM(R470:R470)</f>
        <v>0</v>
      </c>
    </row>
    <row r="471" spans="1:21" s="40" customFormat="1" ht="39.950000000000003" customHeight="1" thickBot="1" x14ac:dyDescent="0.35">
      <c r="A471" s="30">
        <f t="array" ref="A471">IF(B471&lt;&gt;"",COUNTIF($B$19:B471,"&lt;&gt;"),"")</f>
        <v>409</v>
      </c>
      <c r="B471" s="41">
        <v>329</v>
      </c>
      <c r="C471" s="42" t="s">
        <v>912</v>
      </c>
      <c r="D471" s="43">
        <v>1435</v>
      </c>
      <c r="E471" s="42" t="s">
        <v>989</v>
      </c>
      <c r="F471" s="49" t="s">
        <v>724</v>
      </c>
      <c r="G471" s="36" t="s">
        <v>990</v>
      </c>
      <c r="H471" s="44"/>
      <c r="I471" s="44"/>
      <c r="J471" s="44"/>
      <c r="K471" s="44"/>
      <c r="L471" s="44"/>
      <c r="M471" s="44"/>
      <c r="N471" s="36"/>
      <c r="O471" s="36"/>
      <c r="P471" s="45"/>
      <c r="Q471" s="45"/>
      <c r="R471" s="44"/>
      <c r="S471" s="44" t="s">
        <v>33</v>
      </c>
      <c r="T471" s="30" t="str">
        <f>IFERROR(VLOOKUP(O471, '[1]CURSOS 2025'!A:B, 2, FALSE), "")</f>
        <v/>
      </c>
      <c r="U471" s="48">
        <f t="shared" ref="U471" si="75">SUM(R471)</f>
        <v>0</v>
      </c>
    </row>
    <row r="472" spans="1:21" s="40" customFormat="1" ht="39.950000000000003" customHeight="1" thickBot="1" x14ac:dyDescent="0.35">
      <c r="A472" s="30">
        <f t="array" ref="A472">IF(B472&lt;&gt;"",COUNTIF($B$19:B472,"&lt;&gt;"),"")</f>
        <v>410</v>
      </c>
      <c r="B472" s="41">
        <v>329</v>
      </c>
      <c r="C472" s="42" t="s">
        <v>912</v>
      </c>
      <c r="D472" s="43">
        <v>1432</v>
      </c>
      <c r="E472" s="42" t="s">
        <v>991</v>
      </c>
      <c r="F472" s="49" t="s">
        <v>724</v>
      </c>
      <c r="G472" s="36" t="s">
        <v>992</v>
      </c>
      <c r="H472" s="44"/>
      <c r="I472" s="44"/>
      <c r="J472" s="44"/>
      <c r="K472" s="44"/>
      <c r="L472" s="44"/>
      <c r="M472" s="44"/>
      <c r="N472" s="36"/>
      <c r="O472" s="36"/>
      <c r="P472" s="45"/>
      <c r="Q472" s="45"/>
      <c r="R472" s="44"/>
      <c r="S472" s="46" t="s">
        <v>33</v>
      </c>
      <c r="T472" s="30" t="str">
        <f>IFERROR(VLOOKUP(O472, '[1]CURSOS 2025'!A:B, 2, FALSE), "")</f>
        <v/>
      </c>
      <c r="U472" s="39">
        <f>SUM(R472:R472)</f>
        <v>0</v>
      </c>
    </row>
    <row r="473" spans="1:21" s="40" customFormat="1" ht="39.950000000000003" customHeight="1" thickBot="1" x14ac:dyDescent="0.35">
      <c r="A473" s="30">
        <f t="array" ref="A473">IF(B473&lt;&gt;"",COUNTIF($B$19:B473,"&lt;&gt;"),"")</f>
        <v>411</v>
      </c>
      <c r="B473" s="41">
        <v>329</v>
      </c>
      <c r="C473" s="42" t="s">
        <v>912</v>
      </c>
      <c r="D473" s="43">
        <v>3582</v>
      </c>
      <c r="E473" s="42" t="s">
        <v>993</v>
      </c>
      <c r="F473" s="49" t="s">
        <v>724</v>
      </c>
      <c r="G473" s="36" t="s">
        <v>994</v>
      </c>
      <c r="H473" s="44"/>
      <c r="I473" s="44"/>
      <c r="J473" s="44"/>
      <c r="K473" s="44"/>
      <c r="L473" s="44"/>
      <c r="M473" s="44"/>
      <c r="N473" s="36"/>
      <c r="O473" s="36"/>
      <c r="P473" s="45"/>
      <c r="Q473" s="45"/>
      <c r="R473" s="44"/>
      <c r="S473" s="46" t="s">
        <v>33</v>
      </c>
      <c r="T473" s="30" t="str">
        <f>IFERROR(VLOOKUP(O473, '[1]CURSOS 2025'!A:B, 2, FALSE), "")</f>
        <v/>
      </c>
      <c r="U473" s="39">
        <f>SUM(R473:R473)</f>
        <v>0</v>
      </c>
    </row>
    <row r="474" spans="1:21" s="40" customFormat="1" ht="39.950000000000003" customHeight="1" thickBot="1" x14ac:dyDescent="0.35">
      <c r="A474" s="30">
        <f t="array" ref="A474">IF(B474&lt;&gt;"",COUNTIF($B$19:B474,"&lt;&gt;"),"")</f>
        <v>412</v>
      </c>
      <c r="B474" s="41">
        <v>328</v>
      </c>
      <c r="C474" s="42" t="s">
        <v>912</v>
      </c>
      <c r="D474" s="43">
        <v>3659</v>
      </c>
      <c r="E474" s="42" t="s">
        <v>995</v>
      </c>
      <c r="F474" s="49" t="s">
        <v>724</v>
      </c>
      <c r="G474" s="36" t="s">
        <v>996</v>
      </c>
      <c r="H474" s="44"/>
      <c r="I474" s="44"/>
      <c r="J474" s="44"/>
      <c r="K474" s="44"/>
      <c r="L474" s="44"/>
      <c r="M474" s="44"/>
      <c r="N474" s="36"/>
      <c r="O474" s="36"/>
      <c r="P474" s="45"/>
      <c r="Q474" s="45"/>
      <c r="R474" s="44"/>
      <c r="S474" s="44" t="s">
        <v>33</v>
      </c>
      <c r="T474" s="30" t="str">
        <f>IFERROR(VLOOKUP(O474, '[1]CURSOS 2025'!A:B, 2, FALSE), "")</f>
        <v/>
      </c>
      <c r="U474" s="48">
        <f t="shared" ref="U474:U475" si="76">SUM(R474)</f>
        <v>0</v>
      </c>
    </row>
    <row r="475" spans="1:21" s="40" customFormat="1" ht="39.950000000000003" customHeight="1" thickBot="1" x14ac:dyDescent="0.35">
      <c r="A475" s="30">
        <f t="array" ref="A475">IF(B475&lt;&gt;"",COUNTIF($B$19:B475,"&lt;&gt;"),"")</f>
        <v>413</v>
      </c>
      <c r="B475" s="41">
        <v>328</v>
      </c>
      <c r="C475" s="42" t="s">
        <v>912</v>
      </c>
      <c r="D475" s="43">
        <v>1222</v>
      </c>
      <c r="E475" s="42" t="s">
        <v>997</v>
      </c>
      <c r="F475" s="49" t="s">
        <v>724</v>
      </c>
      <c r="G475" s="36" t="s">
        <v>998</v>
      </c>
      <c r="H475" s="44"/>
      <c r="I475" s="44"/>
      <c r="J475" s="44"/>
      <c r="K475" s="44"/>
      <c r="L475" s="44"/>
      <c r="M475" s="44"/>
      <c r="N475" s="36"/>
      <c r="O475" s="36"/>
      <c r="P475" s="45"/>
      <c r="Q475" s="45"/>
      <c r="R475" s="44"/>
      <c r="S475" s="44" t="s">
        <v>33</v>
      </c>
      <c r="T475" s="30" t="str">
        <f>IFERROR(VLOOKUP(O475, '[1]CURSOS 2025'!A:B, 2, FALSE), "")</f>
        <v/>
      </c>
      <c r="U475" s="48">
        <f t="shared" si="76"/>
        <v>0</v>
      </c>
    </row>
    <row r="476" spans="1:21" s="40" customFormat="1" ht="39.950000000000003" customHeight="1" thickBot="1" x14ac:dyDescent="0.35">
      <c r="A476" s="30">
        <f t="array" ref="A476">IF(B476&lt;&gt;"",COUNTIF($B$19:B476,"&lt;&gt;"),"")</f>
        <v>414</v>
      </c>
      <c r="B476" s="41">
        <v>329</v>
      </c>
      <c r="C476" s="42" t="s">
        <v>912</v>
      </c>
      <c r="D476" s="43">
        <v>1195</v>
      </c>
      <c r="E476" s="42" t="s">
        <v>999</v>
      </c>
      <c r="F476" s="49" t="s">
        <v>724</v>
      </c>
      <c r="G476" s="36" t="s">
        <v>1000</v>
      </c>
      <c r="H476" s="44"/>
      <c r="I476" s="44"/>
      <c r="J476" s="44"/>
      <c r="K476" s="44"/>
      <c r="L476" s="44"/>
      <c r="M476" s="44"/>
      <c r="N476" s="36"/>
      <c r="O476" s="36"/>
      <c r="P476" s="45"/>
      <c r="Q476" s="45"/>
      <c r="R476" s="44"/>
      <c r="S476" s="46" t="s">
        <v>33</v>
      </c>
      <c r="T476" s="30" t="str">
        <f>IFERROR(VLOOKUP(O476, '[1]CURSOS 2025'!A:B, 2, FALSE), "")</f>
        <v/>
      </c>
      <c r="U476" s="39">
        <f>SUM(R476:R476)</f>
        <v>0</v>
      </c>
    </row>
    <row r="477" spans="1:21" s="40" customFormat="1" ht="39.950000000000003" customHeight="1" thickBot="1" x14ac:dyDescent="0.35">
      <c r="A477" s="30">
        <f t="array" ref="A477">IF(B477&lt;&gt;"",COUNTIF($B$19:B477,"&lt;&gt;"),"")</f>
        <v>415</v>
      </c>
      <c r="B477" s="41">
        <v>328</v>
      </c>
      <c r="C477" s="42" t="s">
        <v>912</v>
      </c>
      <c r="D477" s="43">
        <v>3459</v>
      </c>
      <c r="E477" s="42" t="s">
        <v>1001</v>
      </c>
      <c r="F477" s="49" t="s">
        <v>724</v>
      </c>
      <c r="G477" s="36" t="s">
        <v>1002</v>
      </c>
      <c r="H477" s="44"/>
      <c r="I477" s="44"/>
      <c r="J477" s="44"/>
      <c r="K477" s="44"/>
      <c r="L477" s="44"/>
      <c r="M477" s="44"/>
      <c r="N477" s="36"/>
      <c r="O477" s="36"/>
      <c r="P477" s="45"/>
      <c r="Q477" s="45"/>
      <c r="R477" s="44"/>
      <c r="S477" s="44" t="s">
        <v>33</v>
      </c>
      <c r="T477" s="30" t="str">
        <f>IFERROR(VLOOKUP(O477, '[1]CURSOS 2025'!A:B, 2, FALSE), "")</f>
        <v/>
      </c>
      <c r="U477" s="48">
        <f t="shared" ref="U477:U478" si="77">SUM(R477)</f>
        <v>0</v>
      </c>
    </row>
    <row r="478" spans="1:21" s="40" customFormat="1" ht="39.950000000000003" customHeight="1" thickBot="1" x14ac:dyDescent="0.35">
      <c r="A478" s="30">
        <f t="array" ref="A478">IF(B478&lt;&gt;"",COUNTIF($B$19:B478,"&lt;&gt;"),"")</f>
        <v>416</v>
      </c>
      <c r="B478" s="41">
        <v>328</v>
      </c>
      <c r="C478" s="42" t="s">
        <v>912</v>
      </c>
      <c r="D478" s="43">
        <v>3576</v>
      </c>
      <c r="E478" s="42" t="s">
        <v>1003</v>
      </c>
      <c r="F478" s="49" t="s">
        <v>724</v>
      </c>
      <c r="G478" s="36" t="s">
        <v>1004</v>
      </c>
      <c r="H478" s="44"/>
      <c r="I478" s="44"/>
      <c r="J478" s="44"/>
      <c r="K478" s="44"/>
      <c r="L478" s="44"/>
      <c r="M478" s="44"/>
      <c r="N478" s="36"/>
      <c r="O478" s="36"/>
      <c r="P478" s="45"/>
      <c r="Q478" s="45"/>
      <c r="R478" s="44"/>
      <c r="S478" s="44" t="s">
        <v>33</v>
      </c>
      <c r="T478" s="30" t="str">
        <f>IFERROR(VLOOKUP(O478, '[1]CURSOS 2025'!A:B, 2, FALSE), "")</f>
        <v/>
      </c>
      <c r="U478" s="48">
        <f t="shared" si="77"/>
        <v>0</v>
      </c>
    </row>
    <row r="479" spans="1:21" s="40" customFormat="1" ht="39.950000000000003" customHeight="1" thickBot="1" x14ac:dyDescent="0.35">
      <c r="A479" s="30">
        <f t="array" ref="A479">IF(B479&lt;&gt;"",COUNTIF($B$19:B479,"&lt;&gt;"),"")</f>
        <v>417</v>
      </c>
      <c r="B479" s="41">
        <v>328</v>
      </c>
      <c r="C479" s="42" t="s">
        <v>912</v>
      </c>
      <c r="D479" s="43">
        <v>3532</v>
      </c>
      <c r="E479" s="42" t="s">
        <v>1005</v>
      </c>
      <c r="F479" s="49" t="s">
        <v>724</v>
      </c>
      <c r="G479" s="36" t="s">
        <v>1006</v>
      </c>
      <c r="H479" s="44"/>
      <c r="I479" s="44"/>
      <c r="J479" s="44"/>
      <c r="K479" s="44"/>
      <c r="L479" s="44"/>
      <c r="M479" s="44"/>
      <c r="N479" s="36"/>
      <c r="O479" s="36"/>
      <c r="P479" s="45"/>
      <c r="Q479" s="45"/>
      <c r="R479" s="44"/>
      <c r="S479" s="46" t="s">
        <v>33</v>
      </c>
      <c r="T479" s="30" t="str">
        <f>IFERROR(VLOOKUP(O479, '[1]CURSOS 2025'!A:B, 2, FALSE), "")</f>
        <v/>
      </c>
      <c r="U479" s="39">
        <f>SUM(R479:R479)</f>
        <v>0</v>
      </c>
    </row>
    <row r="480" spans="1:21" s="40" customFormat="1" ht="39.950000000000003" customHeight="1" thickBot="1" x14ac:dyDescent="0.35">
      <c r="A480" s="30">
        <f t="array" ref="A480">IF(B480&lt;&gt;"",COUNTIF($B$19:B480,"&lt;&gt;"),"")</f>
        <v>418</v>
      </c>
      <c r="B480" s="41">
        <v>328</v>
      </c>
      <c r="C480" s="42" t="s">
        <v>530</v>
      </c>
      <c r="D480" s="43" t="s">
        <v>1007</v>
      </c>
      <c r="E480" s="42" t="s">
        <v>1008</v>
      </c>
      <c r="F480" s="49" t="s">
        <v>724</v>
      </c>
      <c r="G480" s="36" t="s">
        <v>1009</v>
      </c>
      <c r="H480" s="44"/>
      <c r="I480" s="44"/>
      <c r="J480" s="44"/>
      <c r="K480" s="44"/>
      <c r="L480" s="44"/>
      <c r="M480" s="44"/>
      <c r="N480" s="36"/>
      <c r="O480" s="36"/>
      <c r="P480" s="45"/>
      <c r="Q480" s="45"/>
      <c r="R480" s="44"/>
      <c r="S480" s="46" t="s">
        <v>33</v>
      </c>
      <c r="T480" s="30" t="str">
        <f>IFERROR(VLOOKUP(O480, '[1]CURSOS 2025'!A:B, 2, FALSE), "")</f>
        <v/>
      </c>
      <c r="U480" s="39">
        <f>SUM(R480:R480)</f>
        <v>0</v>
      </c>
    </row>
    <row r="481" spans="1:21" s="40" customFormat="1" ht="39.950000000000003" customHeight="1" thickBot="1" x14ac:dyDescent="0.35">
      <c r="A481" s="30">
        <f t="array" ref="A481">IF(B481&lt;&gt;"",COUNTIF($B$19:B481,"&lt;&gt;"),"")</f>
        <v>419</v>
      </c>
      <c r="B481" s="41">
        <v>328</v>
      </c>
      <c r="C481" s="42" t="s">
        <v>530</v>
      </c>
      <c r="D481" s="43" t="s">
        <v>1010</v>
      </c>
      <c r="E481" s="42" t="s">
        <v>1011</v>
      </c>
      <c r="F481" s="49" t="s">
        <v>779</v>
      </c>
      <c r="G481" s="36" t="s">
        <v>1012</v>
      </c>
      <c r="H481" s="44"/>
      <c r="I481" s="44"/>
      <c r="J481" s="44"/>
      <c r="K481" s="44"/>
      <c r="L481" s="44"/>
      <c r="M481" s="44"/>
      <c r="N481" s="36"/>
      <c r="O481" s="36"/>
      <c r="P481" s="45"/>
      <c r="Q481" s="45"/>
      <c r="R481" s="44"/>
      <c r="S481" s="44" t="s">
        <v>33</v>
      </c>
      <c r="T481" s="30" t="str">
        <f>IFERROR(VLOOKUP(O481, '[1]CURSOS 2025'!A:B, 2, FALSE), "")</f>
        <v/>
      </c>
      <c r="U481" s="48">
        <f t="shared" ref="U481" si="78">SUM(R481)</f>
        <v>0</v>
      </c>
    </row>
    <row r="482" spans="1:21" s="40" customFormat="1" ht="39.950000000000003" customHeight="1" thickBot="1" x14ac:dyDescent="0.35">
      <c r="A482" s="30">
        <f t="array" ref="A482">IF(B482&lt;&gt;"",COUNTIF($B$19:B482,"&lt;&gt;"),"")</f>
        <v>420</v>
      </c>
      <c r="B482" s="41">
        <v>328</v>
      </c>
      <c r="C482" s="42" t="s">
        <v>1013</v>
      </c>
      <c r="D482" s="43" t="s">
        <v>1014</v>
      </c>
      <c r="E482" s="42" t="s">
        <v>1015</v>
      </c>
      <c r="F482" s="49" t="s">
        <v>779</v>
      </c>
      <c r="G482" s="36" t="s">
        <v>1016</v>
      </c>
      <c r="H482" s="44"/>
      <c r="I482" s="44"/>
      <c r="J482" s="44"/>
      <c r="K482" s="44"/>
      <c r="L482" s="44"/>
      <c r="M482" s="44"/>
      <c r="N482" s="36"/>
      <c r="O482" s="36"/>
      <c r="P482" s="45"/>
      <c r="Q482" s="45"/>
      <c r="R482" s="44"/>
      <c r="S482" s="46" t="s">
        <v>33</v>
      </c>
      <c r="T482" s="30" t="str">
        <f>IFERROR(VLOOKUP(O482, '[1]CURSOS 2025'!A:B, 2, FALSE), "")</f>
        <v/>
      </c>
      <c r="U482" s="39">
        <f>SUM(R482:R482)</f>
        <v>0</v>
      </c>
    </row>
    <row r="483" spans="1:21" s="40" customFormat="1" ht="39.950000000000003" customHeight="1" thickBot="1" x14ac:dyDescent="0.35">
      <c r="A483" s="30">
        <f t="array" ref="A483">IF(B483&lt;&gt;"",COUNTIF($B$19:B483,"&lt;&gt;"),"")</f>
        <v>421</v>
      </c>
      <c r="B483" s="41">
        <v>328</v>
      </c>
      <c r="C483" s="42" t="s">
        <v>864</v>
      </c>
      <c r="D483" s="43" t="s">
        <v>1017</v>
      </c>
      <c r="E483" s="42" t="s">
        <v>1018</v>
      </c>
      <c r="F483" s="49" t="s">
        <v>779</v>
      </c>
      <c r="G483" s="36" t="s">
        <v>1019</v>
      </c>
      <c r="H483" s="44"/>
      <c r="I483" s="44"/>
      <c r="J483" s="44"/>
      <c r="K483" s="44"/>
      <c r="L483" s="44"/>
      <c r="M483" s="44"/>
      <c r="N483" s="36"/>
      <c r="O483" s="36"/>
      <c r="P483" s="45"/>
      <c r="Q483" s="45"/>
      <c r="R483" s="44"/>
      <c r="S483" s="46" t="s">
        <v>33</v>
      </c>
      <c r="T483" s="30" t="str">
        <f>IFERROR(VLOOKUP(O483, '[1]CURSOS 2025'!A:B, 2, FALSE), "")</f>
        <v/>
      </c>
      <c r="U483" s="39">
        <f>SUM(R483:R483)</f>
        <v>0</v>
      </c>
    </row>
    <row r="484" spans="1:21" s="40" customFormat="1" ht="39.950000000000003" customHeight="1" thickBot="1" x14ac:dyDescent="0.35">
      <c r="A484" s="30">
        <f t="array" ref="A484">IF(B484&lt;&gt;"",COUNTIF($B$19:B484,"&lt;&gt;"),"")</f>
        <v>422</v>
      </c>
      <c r="B484" s="41">
        <v>328</v>
      </c>
      <c r="C484" s="42" t="s">
        <v>530</v>
      </c>
      <c r="D484" s="43" t="s">
        <v>1020</v>
      </c>
      <c r="E484" s="42" t="s">
        <v>1021</v>
      </c>
      <c r="F484" s="49" t="s">
        <v>779</v>
      </c>
      <c r="G484" s="36" t="s">
        <v>1022</v>
      </c>
      <c r="H484" s="44"/>
      <c r="I484" s="44"/>
      <c r="J484" s="44"/>
      <c r="K484" s="44"/>
      <c r="L484" s="44"/>
      <c r="M484" s="44"/>
      <c r="N484" s="36"/>
      <c r="O484" s="36"/>
      <c r="P484" s="45"/>
      <c r="Q484" s="45"/>
      <c r="R484" s="44"/>
      <c r="S484" s="44" t="s">
        <v>33</v>
      </c>
      <c r="T484" s="30" t="str">
        <f>IFERROR(VLOOKUP(O484, '[1]CURSOS 2025'!A:B, 2, FALSE), "")</f>
        <v/>
      </c>
      <c r="U484" s="48">
        <f t="shared" ref="U484" si="79">SUM(R484)</f>
        <v>0</v>
      </c>
    </row>
    <row r="485" spans="1:21" s="40" customFormat="1" ht="39.950000000000003" customHeight="1" thickBot="1" x14ac:dyDescent="0.35">
      <c r="A485" s="30">
        <f t="array" ref="A485">IF(B485&lt;&gt;"",COUNTIF($B$19:B485,"&lt;&gt;"),"")</f>
        <v>423</v>
      </c>
      <c r="B485" s="41">
        <v>328</v>
      </c>
      <c r="C485" s="42" t="s">
        <v>770</v>
      </c>
      <c r="D485" s="43" t="s">
        <v>1023</v>
      </c>
      <c r="E485" s="42" t="s">
        <v>1024</v>
      </c>
      <c r="F485" s="49" t="s">
        <v>779</v>
      </c>
      <c r="G485" s="36" t="s">
        <v>1025</v>
      </c>
      <c r="H485" s="44"/>
      <c r="I485" s="44"/>
      <c r="J485" s="44"/>
      <c r="K485" s="44"/>
      <c r="L485" s="44"/>
      <c r="M485" s="44"/>
      <c r="N485" s="36"/>
      <c r="O485" s="36"/>
      <c r="P485" s="45"/>
      <c r="Q485" s="45"/>
      <c r="R485" s="44"/>
      <c r="S485" s="46" t="s">
        <v>33</v>
      </c>
      <c r="T485" s="30" t="str">
        <f>IFERROR(VLOOKUP(O485, '[1]CURSOS 2025'!A:B, 2, FALSE), "")</f>
        <v/>
      </c>
      <c r="U485" s="39">
        <f>SUM(R485:R485)</f>
        <v>0</v>
      </c>
    </row>
    <row r="486" spans="1:21" s="40" customFormat="1" ht="39.950000000000003" customHeight="1" thickBot="1" x14ac:dyDescent="0.35">
      <c r="A486" s="30">
        <f t="array" ref="A486">IF(B486&lt;&gt;"",COUNTIF($B$19:B486,"&lt;&gt;"),"")</f>
        <v>424</v>
      </c>
      <c r="B486" s="41">
        <v>328</v>
      </c>
      <c r="C486" s="42" t="s">
        <v>770</v>
      </c>
      <c r="D486" s="43" t="s">
        <v>1026</v>
      </c>
      <c r="E486" s="42" t="s">
        <v>1027</v>
      </c>
      <c r="F486" s="49" t="s">
        <v>724</v>
      </c>
      <c r="G486" s="36" t="s">
        <v>1028</v>
      </c>
      <c r="H486" s="44"/>
      <c r="I486" s="44"/>
      <c r="J486" s="44"/>
      <c r="K486" s="44"/>
      <c r="L486" s="44"/>
      <c r="M486" s="44"/>
      <c r="N486" s="36"/>
      <c r="O486" s="36"/>
      <c r="P486" s="45"/>
      <c r="Q486" s="45"/>
      <c r="R486" s="44"/>
      <c r="S486" s="44" t="s">
        <v>33</v>
      </c>
      <c r="T486" s="30" t="str">
        <f>IFERROR(VLOOKUP(O486, '[1]CURSOS 2025'!A:B, 2, FALSE), "")</f>
        <v/>
      </c>
      <c r="U486" s="48">
        <f t="shared" ref="U486" si="80">SUM(R486)</f>
        <v>0</v>
      </c>
    </row>
    <row r="487" spans="1:21" s="40" customFormat="1" ht="39.950000000000003" customHeight="1" thickBot="1" x14ac:dyDescent="0.35">
      <c r="A487" s="30">
        <f t="array" ref="A487">IF(B487&lt;&gt;"",COUNTIF($B$19:B487,"&lt;&gt;"),"")</f>
        <v>425</v>
      </c>
      <c r="B487" s="41">
        <v>328</v>
      </c>
      <c r="C487" s="42" t="s">
        <v>530</v>
      </c>
      <c r="D487" s="43" t="s">
        <v>1029</v>
      </c>
      <c r="E487" s="42" t="s">
        <v>1030</v>
      </c>
      <c r="F487" s="49" t="s">
        <v>724</v>
      </c>
      <c r="G487" s="36" t="s">
        <v>1031</v>
      </c>
      <c r="H487" s="44"/>
      <c r="I487" s="44"/>
      <c r="J487" s="44"/>
      <c r="K487" s="44"/>
      <c r="L487" s="44"/>
      <c r="M487" s="44"/>
      <c r="N487" s="36"/>
      <c r="O487" s="36"/>
      <c r="P487" s="45"/>
      <c r="Q487" s="45"/>
      <c r="R487" s="44"/>
      <c r="S487" s="46" t="s">
        <v>33</v>
      </c>
      <c r="T487" s="30" t="str">
        <f>IFERROR(VLOOKUP(O487, '[1]CURSOS 2025'!A:B, 2, FALSE), "")</f>
        <v/>
      </c>
      <c r="U487" s="39">
        <f>SUM(R487:R487)</f>
        <v>0</v>
      </c>
    </row>
    <row r="488" spans="1:21" s="40" customFormat="1" ht="39.950000000000003" customHeight="1" thickBot="1" x14ac:dyDescent="0.35">
      <c r="A488" s="30">
        <f t="array" ref="A488">IF(B488&lt;&gt;"",COUNTIF($B$19:B488,"&lt;&gt;"),"")</f>
        <v>426</v>
      </c>
      <c r="B488" s="41">
        <v>328</v>
      </c>
      <c r="C488" s="42" t="s">
        <v>770</v>
      </c>
      <c r="D488" s="43" t="s">
        <v>1032</v>
      </c>
      <c r="E488" s="42" t="s">
        <v>1033</v>
      </c>
      <c r="F488" s="49" t="s">
        <v>724</v>
      </c>
      <c r="G488" s="36" t="s">
        <v>1034</v>
      </c>
      <c r="H488" s="44"/>
      <c r="I488" s="44"/>
      <c r="J488" s="44"/>
      <c r="K488" s="44"/>
      <c r="L488" s="44"/>
      <c r="M488" s="44"/>
      <c r="N488" s="36"/>
      <c r="O488" s="36"/>
      <c r="P488" s="45"/>
      <c r="Q488" s="45"/>
      <c r="R488" s="44"/>
      <c r="S488" s="44" t="s">
        <v>33</v>
      </c>
      <c r="T488" s="30" t="str">
        <f>IFERROR(VLOOKUP(O488, '[1]CURSOS 2025'!A:B, 2, FALSE), "")</f>
        <v/>
      </c>
      <c r="U488" s="48">
        <f t="shared" ref="U488" si="81">SUM(R488)</f>
        <v>0</v>
      </c>
    </row>
    <row r="489" spans="1:21" s="40" customFormat="1" ht="39.950000000000003" customHeight="1" thickBot="1" x14ac:dyDescent="0.35">
      <c r="A489" s="30">
        <f t="array" ref="A489">IF(B489&lt;&gt;"",COUNTIF($B$19:B489,"&lt;&gt;"),"")</f>
        <v>427</v>
      </c>
      <c r="B489" s="41">
        <v>328</v>
      </c>
      <c r="C489" s="42" t="s">
        <v>697</v>
      </c>
      <c r="D489" s="43" t="s">
        <v>1035</v>
      </c>
      <c r="E489" s="42" t="s">
        <v>1036</v>
      </c>
      <c r="F489" s="49" t="s">
        <v>724</v>
      </c>
      <c r="G489" s="36" t="s">
        <v>1037</v>
      </c>
      <c r="H489" s="44"/>
      <c r="I489" s="44"/>
      <c r="J489" s="44"/>
      <c r="K489" s="44"/>
      <c r="L489" s="44"/>
      <c r="M489" s="44"/>
      <c r="N489" s="36"/>
      <c r="O489" s="36"/>
      <c r="P489" s="45"/>
      <c r="Q489" s="45"/>
      <c r="R489" s="44"/>
      <c r="S489" s="46" t="s">
        <v>33</v>
      </c>
      <c r="T489" s="30" t="str">
        <f>IFERROR(VLOOKUP(O489, '[1]CURSOS 2025'!A:B, 2, FALSE), "")</f>
        <v/>
      </c>
      <c r="U489" s="39">
        <f>SUM(R489:R489)</f>
        <v>0</v>
      </c>
    </row>
    <row r="490" spans="1:21" s="40" customFormat="1" ht="39.950000000000003" customHeight="1" thickBot="1" x14ac:dyDescent="0.35">
      <c r="A490" s="30">
        <f t="array" ref="A490">IF(B490&lt;&gt;"",COUNTIF($B$19:B490,"&lt;&gt;"),"")</f>
        <v>428</v>
      </c>
      <c r="B490" s="41">
        <v>328</v>
      </c>
      <c r="C490" s="42" t="s">
        <v>530</v>
      </c>
      <c r="D490" s="43" t="s">
        <v>1038</v>
      </c>
      <c r="E490" s="42" t="s">
        <v>1039</v>
      </c>
      <c r="F490" s="49" t="s">
        <v>724</v>
      </c>
      <c r="G490" s="36" t="s">
        <v>1040</v>
      </c>
      <c r="H490" s="44"/>
      <c r="I490" s="44"/>
      <c r="J490" s="44"/>
      <c r="K490" s="44"/>
      <c r="L490" s="44"/>
      <c r="M490" s="44"/>
      <c r="N490" s="36"/>
      <c r="O490" s="36"/>
      <c r="P490" s="45"/>
      <c r="Q490" s="45"/>
      <c r="R490" s="44"/>
      <c r="S490" s="46" t="s">
        <v>33</v>
      </c>
      <c r="T490" s="30" t="str">
        <f>IFERROR(VLOOKUP(O490, '[1]CURSOS 2025'!A:B, 2, FALSE), "")</f>
        <v/>
      </c>
      <c r="U490" s="39">
        <f>SUM(R490:R490)</f>
        <v>0</v>
      </c>
    </row>
    <row r="491" spans="1:21" s="40" customFormat="1" ht="39.950000000000003" customHeight="1" thickBot="1" x14ac:dyDescent="0.35">
      <c r="A491" s="30">
        <f t="array" ref="A491">IF(B491&lt;&gt;"",COUNTIF($B$19:B491,"&lt;&gt;"),"")</f>
        <v>429</v>
      </c>
      <c r="B491" s="41">
        <v>328</v>
      </c>
      <c r="C491" s="42" t="s">
        <v>530</v>
      </c>
      <c r="D491" s="43" t="s">
        <v>1041</v>
      </c>
      <c r="E491" s="42" t="s">
        <v>1042</v>
      </c>
      <c r="F491" s="49" t="s">
        <v>724</v>
      </c>
      <c r="G491" s="36" t="s">
        <v>1043</v>
      </c>
      <c r="H491" s="44"/>
      <c r="I491" s="44"/>
      <c r="J491" s="44"/>
      <c r="K491" s="44"/>
      <c r="L491" s="44"/>
      <c r="M491" s="44"/>
      <c r="N491" s="36"/>
      <c r="O491" s="36"/>
      <c r="P491" s="45"/>
      <c r="Q491" s="45"/>
      <c r="R491" s="44"/>
      <c r="S491" s="46" t="s">
        <v>33</v>
      </c>
      <c r="T491" s="30" t="str">
        <f>IFERROR(VLOOKUP(O491, '[1]CURSOS 2025'!A:B, 2, FALSE), "")</f>
        <v/>
      </c>
      <c r="U491" s="39">
        <f>SUM(R491:R491)</f>
        <v>0</v>
      </c>
    </row>
    <row r="492" spans="1:21" s="40" customFormat="1" ht="39.950000000000003" customHeight="1" thickBot="1" x14ac:dyDescent="0.35">
      <c r="A492" s="30">
        <f t="array" ref="A492">IF(B492&lt;&gt;"",COUNTIF($B$19:B492,"&lt;&gt;"),"")</f>
        <v>430</v>
      </c>
      <c r="B492" s="41">
        <v>328</v>
      </c>
      <c r="C492" s="42" t="s">
        <v>770</v>
      </c>
      <c r="D492" s="43" t="s">
        <v>1044</v>
      </c>
      <c r="E492" s="42" t="s">
        <v>1045</v>
      </c>
      <c r="F492" s="49" t="s">
        <v>724</v>
      </c>
      <c r="G492" s="36" t="s">
        <v>1046</v>
      </c>
      <c r="H492" s="44"/>
      <c r="I492" s="44"/>
      <c r="J492" s="44"/>
      <c r="K492" s="44"/>
      <c r="L492" s="44"/>
      <c r="M492" s="44"/>
      <c r="N492" s="36"/>
      <c r="O492" s="36"/>
      <c r="P492" s="45"/>
      <c r="Q492" s="45"/>
      <c r="R492" s="44"/>
      <c r="S492" s="44" t="s">
        <v>33</v>
      </c>
      <c r="T492" s="30" t="str">
        <f>IFERROR(VLOOKUP(O492, '[1]CURSOS 2025'!A:B, 2, FALSE), "")</f>
        <v/>
      </c>
      <c r="U492" s="48">
        <f t="shared" ref="U492" si="82">SUM(R492)</f>
        <v>0</v>
      </c>
    </row>
    <row r="493" spans="1:21" s="40" customFormat="1" ht="39.950000000000003" customHeight="1" thickBot="1" x14ac:dyDescent="0.35">
      <c r="A493" s="30">
        <f t="array" ref="A493">IF(B493&lt;&gt;"",COUNTIF($B$19:B493,"&lt;&gt;"),"")</f>
        <v>431</v>
      </c>
      <c r="B493" s="41">
        <v>328</v>
      </c>
      <c r="C493" s="42" t="s">
        <v>697</v>
      </c>
      <c r="D493" s="43" t="s">
        <v>1047</v>
      </c>
      <c r="E493" s="42" t="s">
        <v>1048</v>
      </c>
      <c r="F493" s="49" t="s">
        <v>724</v>
      </c>
      <c r="G493" s="36" t="s">
        <v>1049</v>
      </c>
      <c r="H493" s="44"/>
      <c r="I493" s="44"/>
      <c r="J493" s="44"/>
      <c r="K493" s="44"/>
      <c r="L493" s="44"/>
      <c r="M493" s="44"/>
      <c r="N493" s="36"/>
      <c r="O493" s="36"/>
      <c r="P493" s="45"/>
      <c r="Q493" s="45"/>
      <c r="R493" s="44"/>
      <c r="S493" s="46" t="s">
        <v>33</v>
      </c>
      <c r="T493" s="30" t="str">
        <f>IFERROR(VLOOKUP(O493, '[1]CURSOS 2025'!A:B, 2, FALSE), "")</f>
        <v/>
      </c>
      <c r="U493" s="39">
        <f>SUM(R493:R493)</f>
        <v>0</v>
      </c>
    </row>
    <row r="494" spans="1:21" s="40" customFormat="1" ht="39.75" customHeight="1" thickBot="1" x14ac:dyDescent="0.35">
      <c r="A494" s="30">
        <f t="array" ref="A494">IF(B494&lt;&gt;"",COUNTIF($B$19:B494,"&lt;&gt;"),"")</f>
        <v>432</v>
      </c>
      <c r="B494" s="41">
        <v>328</v>
      </c>
      <c r="C494" s="42" t="s">
        <v>697</v>
      </c>
      <c r="D494" s="43" t="s">
        <v>1050</v>
      </c>
      <c r="E494" s="42" t="s">
        <v>1051</v>
      </c>
      <c r="F494" s="49" t="s">
        <v>724</v>
      </c>
      <c r="G494" s="36" t="s">
        <v>1052</v>
      </c>
      <c r="H494" s="44"/>
      <c r="I494" s="44"/>
      <c r="J494" s="44"/>
      <c r="K494" s="44"/>
      <c r="L494" s="44"/>
      <c r="M494" s="44"/>
      <c r="N494" s="36"/>
      <c r="O494" s="36"/>
      <c r="P494" s="45"/>
      <c r="Q494" s="45"/>
      <c r="R494" s="44"/>
      <c r="S494" s="44" t="s">
        <v>33</v>
      </c>
      <c r="T494" s="30" t="str">
        <f>IFERROR(VLOOKUP(O494, '[1]CURSOS 2025'!A:B, 2, FALSE), "")</f>
        <v/>
      </c>
      <c r="U494" s="48">
        <f t="shared" ref="U494" si="83">SUM(R494)</f>
        <v>0</v>
      </c>
    </row>
    <row r="495" spans="1:21" s="40" customFormat="1" ht="39.950000000000003" customHeight="1" thickBot="1" x14ac:dyDescent="0.35">
      <c r="A495" s="30">
        <f t="array" ref="A495">IF(B495&lt;&gt;"",COUNTIF($B$19:B495,"&lt;&gt;"),"")</f>
        <v>433</v>
      </c>
      <c r="B495" s="41">
        <v>328</v>
      </c>
      <c r="C495" s="42" t="s">
        <v>530</v>
      </c>
      <c r="D495" s="43" t="s">
        <v>1053</v>
      </c>
      <c r="E495" s="42" t="s">
        <v>1054</v>
      </c>
      <c r="F495" s="49" t="s">
        <v>724</v>
      </c>
      <c r="G495" s="36" t="s">
        <v>1055</v>
      </c>
      <c r="H495" s="44"/>
      <c r="I495" s="44"/>
      <c r="J495" s="44"/>
      <c r="K495" s="44"/>
      <c r="L495" s="44"/>
      <c r="M495" s="44"/>
      <c r="N495" s="36"/>
      <c r="O495" s="36"/>
      <c r="P495" s="45"/>
      <c r="Q495" s="45"/>
      <c r="R495" s="44"/>
      <c r="S495" s="46" t="s">
        <v>33</v>
      </c>
      <c r="T495" s="30" t="str">
        <f>IFERROR(VLOOKUP(O495, '[1]CURSOS 2025'!A:B, 2, FALSE), "")</f>
        <v/>
      </c>
      <c r="U495" s="39">
        <f>SUM(R495:R495)</f>
        <v>0</v>
      </c>
    </row>
    <row r="496" spans="1:21" s="40" customFormat="1" ht="39.950000000000003" customHeight="1" thickBot="1" x14ac:dyDescent="0.35">
      <c r="A496" s="30">
        <f t="array" ref="A496">IF(B496&lt;&gt;"",COUNTIF($B$19:B496,"&lt;&gt;"),"")</f>
        <v>434</v>
      </c>
      <c r="B496" s="41">
        <v>328</v>
      </c>
      <c r="C496" s="42" t="s">
        <v>697</v>
      </c>
      <c r="D496" s="43" t="s">
        <v>1056</v>
      </c>
      <c r="E496" s="42" t="s">
        <v>1057</v>
      </c>
      <c r="F496" s="49" t="s">
        <v>724</v>
      </c>
      <c r="G496" s="36" t="s">
        <v>1058</v>
      </c>
      <c r="H496" s="44"/>
      <c r="I496" s="44"/>
      <c r="J496" s="44"/>
      <c r="K496" s="44"/>
      <c r="L496" s="44"/>
      <c r="M496" s="44"/>
      <c r="N496" s="36"/>
      <c r="O496" s="36"/>
      <c r="P496" s="45"/>
      <c r="Q496" s="45"/>
      <c r="R496" s="44"/>
      <c r="S496" s="44" t="s">
        <v>33</v>
      </c>
      <c r="T496" s="30" t="str">
        <f>IFERROR(VLOOKUP(O496, '[1]CURSOS 2025'!A:B, 2, FALSE), "")</f>
        <v/>
      </c>
      <c r="U496" s="48">
        <f t="shared" ref="U496:U498" si="84">SUM(R496)</f>
        <v>0</v>
      </c>
    </row>
    <row r="497" spans="1:21" s="40" customFormat="1" ht="39.950000000000003" customHeight="1" thickBot="1" x14ac:dyDescent="0.35">
      <c r="A497" s="30">
        <f t="array" ref="A497">IF(B497&lt;&gt;"",COUNTIF($B$19:B497,"&lt;&gt;"),"")</f>
        <v>435</v>
      </c>
      <c r="B497" s="41">
        <v>328</v>
      </c>
      <c r="C497" s="42" t="s">
        <v>530</v>
      </c>
      <c r="D497" s="43" t="s">
        <v>1059</v>
      </c>
      <c r="E497" s="42" t="s">
        <v>1060</v>
      </c>
      <c r="F497" s="49" t="s">
        <v>724</v>
      </c>
      <c r="G497" s="36" t="s">
        <v>1061</v>
      </c>
      <c r="H497" s="44"/>
      <c r="I497" s="44"/>
      <c r="J497" s="44"/>
      <c r="K497" s="44"/>
      <c r="L497" s="44"/>
      <c r="M497" s="44"/>
      <c r="N497" s="36"/>
      <c r="O497" s="36"/>
      <c r="P497" s="45"/>
      <c r="Q497" s="45"/>
      <c r="R497" s="44"/>
      <c r="S497" s="44" t="s">
        <v>33</v>
      </c>
      <c r="T497" s="30" t="str">
        <f>IFERROR(VLOOKUP(O497, '[1]CURSOS 2025'!A:B, 2, FALSE), "")</f>
        <v/>
      </c>
      <c r="U497" s="48">
        <f t="shared" si="84"/>
        <v>0</v>
      </c>
    </row>
    <row r="498" spans="1:21" s="40" customFormat="1" ht="39.950000000000003" customHeight="1" thickBot="1" x14ac:dyDescent="0.35">
      <c r="A498" s="30">
        <f t="array" ref="A498">IF(B498&lt;&gt;"",COUNTIF($B$19:B498,"&lt;&gt;"),"")</f>
        <v>436</v>
      </c>
      <c r="B498" s="41">
        <v>328</v>
      </c>
      <c r="C498" s="42" t="s">
        <v>697</v>
      </c>
      <c r="D498" s="43" t="s">
        <v>1062</v>
      </c>
      <c r="E498" s="42" t="s">
        <v>1063</v>
      </c>
      <c r="F498" s="49" t="s">
        <v>724</v>
      </c>
      <c r="G498" s="36" t="s">
        <v>1064</v>
      </c>
      <c r="H498" s="44"/>
      <c r="I498" s="44"/>
      <c r="J498" s="44"/>
      <c r="K498" s="44"/>
      <c r="L498" s="44"/>
      <c r="M498" s="44"/>
      <c r="N498" s="36"/>
      <c r="O498" s="36"/>
      <c r="P498" s="45"/>
      <c r="Q498" s="45"/>
      <c r="R498" s="44"/>
      <c r="S498" s="44" t="s">
        <v>33</v>
      </c>
      <c r="T498" s="30" t="str">
        <f>IFERROR(VLOOKUP(O498, '[1]CURSOS 2025'!A:B, 2, FALSE), "")</f>
        <v/>
      </c>
      <c r="U498" s="48">
        <f t="shared" si="84"/>
        <v>0</v>
      </c>
    </row>
    <row r="499" spans="1:21" s="40" customFormat="1" ht="39.950000000000003" customHeight="1" thickBot="1" x14ac:dyDescent="0.35">
      <c r="A499" s="30">
        <f t="array" ref="A499">IF(B499&lt;&gt;"",COUNTIF($B$19:B499,"&lt;&gt;"),"")</f>
        <v>437</v>
      </c>
      <c r="B499" s="41">
        <v>328</v>
      </c>
      <c r="C499" s="42" t="s">
        <v>530</v>
      </c>
      <c r="D499" s="43" t="s">
        <v>1065</v>
      </c>
      <c r="E499" s="42" t="s">
        <v>1066</v>
      </c>
      <c r="F499" s="49" t="s">
        <v>779</v>
      </c>
      <c r="G499" s="36" t="s">
        <v>1067</v>
      </c>
      <c r="H499" s="44"/>
      <c r="I499" s="44"/>
      <c r="J499" s="44"/>
      <c r="K499" s="44"/>
      <c r="L499" s="44"/>
      <c r="M499" s="44"/>
      <c r="N499" s="36"/>
      <c r="O499" s="36"/>
      <c r="P499" s="45"/>
      <c r="Q499" s="45"/>
      <c r="R499" s="44"/>
      <c r="S499" s="46" t="s">
        <v>33</v>
      </c>
      <c r="T499" s="30" t="str">
        <f>IFERROR(VLOOKUP(O499, '[1]CURSOS 2025'!A:B, 2, FALSE), "")</f>
        <v/>
      </c>
      <c r="U499" s="39">
        <f>SUM(R499:R499)</f>
        <v>0</v>
      </c>
    </row>
    <row r="500" spans="1:21" s="40" customFormat="1" ht="39.950000000000003" customHeight="1" thickBot="1" x14ac:dyDescent="0.35">
      <c r="A500" s="30">
        <f t="array" ref="A500">IF(B500&lt;&gt;"",COUNTIF($B$19:B500,"&lt;&gt;"),"")</f>
        <v>438</v>
      </c>
      <c r="B500" s="41">
        <v>328</v>
      </c>
      <c r="C500" s="42" t="s">
        <v>530</v>
      </c>
      <c r="D500" s="43" t="s">
        <v>1068</v>
      </c>
      <c r="E500" s="42" t="s">
        <v>1069</v>
      </c>
      <c r="F500" s="49" t="s">
        <v>779</v>
      </c>
      <c r="G500" s="36" t="s">
        <v>1070</v>
      </c>
      <c r="H500" s="44"/>
      <c r="I500" s="44"/>
      <c r="J500" s="44"/>
      <c r="K500" s="44"/>
      <c r="L500" s="44"/>
      <c r="M500" s="44"/>
      <c r="N500" s="36"/>
      <c r="O500" s="36"/>
      <c r="P500" s="45"/>
      <c r="Q500" s="45"/>
      <c r="R500" s="44"/>
      <c r="S500" s="46" t="s">
        <v>33</v>
      </c>
      <c r="T500" s="30" t="str">
        <f>IFERROR(VLOOKUP(O500, '[1]CURSOS 2025'!A:B, 2, FALSE), "")</f>
        <v/>
      </c>
      <c r="U500" s="39">
        <f>SUM(R500:R500)</f>
        <v>0</v>
      </c>
    </row>
    <row r="501" spans="1:21" s="40" customFormat="1" ht="39.950000000000003" customHeight="1" thickBot="1" x14ac:dyDescent="0.35">
      <c r="A501" s="30">
        <f t="array" ref="A501">IF(B501&lt;&gt;"",COUNTIF($B$19:B501,"&lt;&gt;"),"")</f>
        <v>439</v>
      </c>
      <c r="B501" s="41">
        <v>328</v>
      </c>
      <c r="C501" s="42" t="s">
        <v>770</v>
      </c>
      <c r="D501" s="43" t="s">
        <v>1071</v>
      </c>
      <c r="E501" s="42" t="s">
        <v>1072</v>
      </c>
      <c r="F501" s="49" t="s">
        <v>779</v>
      </c>
      <c r="G501" s="36" t="s">
        <v>1073</v>
      </c>
      <c r="H501" s="44"/>
      <c r="I501" s="44"/>
      <c r="J501" s="44"/>
      <c r="K501" s="44"/>
      <c r="L501" s="44"/>
      <c r="M501" s="44"/>
      <c r="N501" s="36"/>
      <c r="O501" s="36"/>
      <c r="P501" s="45"/>
      <c r="Q501" s="45"/>
      <c r="R501" s="44"/>
      <c r="S501" s="46" t="s">
        <v>33</v>
      </c>
      <c r="T501" s="30" t="str">
        <f>IFERROR(VLOOKUP(O501, '[1]CURSOS 2025'!A:B, 2, FALSE), "")</f>
        <v/>
      </c>
      <c r="U501" s="39">
        <f>SUM(R501:R501)</f>
        <v>0</v>
      </c>
    </row>
    <row r="502" spans="1:21" s="40" customFormat="1" ht="39.950000000000003" customHeight="1" thickBot="1" x14ac:dyDescent="0.35">
      <c r="A502" s="30">
        <f t="array" ref="A502">IF(B502&lt;&gt;"",COUNTIF($B$19:B502,"&lt;&gt;"),"")</f>
        <v>440</v>
      </c>
      <c r="B502" s="41">
        <v>328</v>
      </c>
      <c r="C502" s="42" t="s">
        <v>697</v>
      </c>
      <c r="D502" s="43" t="s">
        <v>1074</v>
      </c>
      <c r="E502" s="42" t="s">
        <v>1075</v>
      </c>
      <c r="F502" s="49" t="s">
        <v>779</v>
      </c>
      <c r="G502" s="36" t="s">
        <v>1076</v>
      </c>
      <c r="H502" s="44"/>
      <c r="I502" s="44"/>
      <c r="J502" s="44"/>
      <c r="K502" s="44"/>
      <c r="L502" s="44"/>
      <c r="M502" s="44"/>
      <c r="N502" s="36"/>
      <c r="O502" s="36"/>
      <c r="P502" s="45"/>
      <c r="Q502" s="45"/>
      <c r="R502" s="44"/>
      <c r="S502" s="44" t="s">
        <v>33</v>
      </c>
      <c r="T502" s="30" t="str">
        <f>IFERROR(VLOOKUP(O502, '[1]CURSOS 2025'!A:B, 2, FALSE), "")</f>
        <v/>
      </c>
      <c r="U502" s="48">
        <f t="shared" ref="U502:U503" si="85">SUM(R502)</f>
        <v>0</v>
      </c>
    </row>
    <row r="503" spans="1:21" s="40" customFormat="1" ht="39.950000000000003" customHeight="1" thickBot="1" x14ac:dyDescent="0.35">
      <c r="A503" s="30">
        <f t="array" ref="A503">IF(B503&lt;&gt;"",COUNTIF($B$19:B503,"&lt;&gt;"),"")</f>
        <v>441</v>
      </c>
      <c r="B503" s="41">
        <v>328</v>
      </c>
      <c r="C503" s="42" t="s">
        <v>530</v>
      </c>
      <c r="D503" s="43" t="s">
        <v>1077</v>
      </c>
      <c r="E503" s="42" t="s">
        <v>1078</v>
      </c>
      <c r="F503" s="49" t="s">
        <v>779</v>
      </c>
      <c r="G503" s="36" t="s">
        <v>1079</v>
      </c>
      <c r="H503" s="44"/>
      <c r="I503" s="44"/>
      <c r="J503" s="44"/>
      <c r="K503" s="44"/>
      <c r="L503" s="44"/>
      <c r="M503" s="44"/>
      <c r="N503" s="36"/>
      <c r="O503" s="36"/>
      <c r="P503" s="45"/>
      <c r="Q503" s="45"/>
      <c r="R503" s="44"/>
      <c r="S503" s="44" t="s">
        <v>33</v>
      </c>
      <c r="T503" s="30" t="str">
        <f>IFERROR(VLOOKUP(O503, '[1]CURSOS 2025'!A:B, 2, FALSE), "")</f>
        <v/>
      </c>
      <c r="U503" s="48">
        <f t="shared" si="85"/>
        <v>0</v>
      </c>
    </row>
    <row r="504" spans="1:21" s="40" customFormat="1" ht="39.75" customHeight="1" thickBot="1" x14ac:dyDescent="0.35">
      <c r="A504" s="30">
        <f t="array" ref="A504">IF(B504&lt;&gt;"",COUNTIF($B$19:B504,"&lt;&gt;"),"")</f>
        <v>442</v>
      </c>
      <c r="B504" s="41">
        <v>328</v>
      </c>
      <c r="C504" s="42" t="s">
        <v>530</v>
      </c>
      <c r="D504" s="43" t="s">
        <v>1080</v>
      </c>
      <c r="E504" s="42" t="s">
        <v>1081</v>
      </c>
      <c r="F504" s="49" t="s">
        <v>724</v>
      </c>
      <c r="G504" s="36" t="s">
        <v>1082</v>
      </c>
      <c r="H504" s="44"/>
      <c r="I504" s="44"/>
      <c r="J504" s="44"/>
      <c r="K504" s="44"/>
      <c r="L504" s="44"/>
      <c r="M504" s="44"/>
      <c r="N504" s="36"/>
      <c r="O504" s="36"/>
      <c r="P504" s="45"/>
      <c r="Q504" s="45"/>
      <c r="R504" s="44"/>
      <c r="S504" s="46" t="s">
        <v>33</v>
      </c>
      <c r="T504" s="30" t="str">
        <f>IFERROR(VLOOKUP(O504, '[1]CURSOS 2025'!A:B, 2, FALSE), "")</f>
        <v/>
      </c>
      <c r="U504" s="39">
        <f>SUM(R504:R504)</f>
        <v>0</v>
      </c>
    </row>
    <row r="505" spans="1:21" s="40" customFormat="1" ht="39.950000000000003" customHeight="1" thickBot="1" x14ac:dyDescent="0.35">
      <c r="A505" s="30">
        <f t="array" ref="A505">IF(B505&lt;&gt;"",COUNTIF($B$19:B505,"&lt;&gt;"),"")</f>
        <v>443</v>
      </c>
      <c r="B505" s="41">
        <v>328</v>
      </c>
      <c r="C505" s="42" t="s">
        <v>530</v>
      </c>
      <c r="D505" s="43" t="s">
        <v>1083</v>
      </c>
      <c r="E505" s="42" t="s">
        <v>1084</v>
      </c>
      <c r="F505" s="49" t="s">
        <v>779</v>
      </c>
      <c r="G505" s="36" t="s">
        <v>1085</v>
      </c>
      <c r="H505" s="44"/>
      <c r="I505" s="44"/>
      <c r="J505" s="44"/>
      <c r="K505" s="44"/>
      <c r="L505" s="44"/>
      <c r="M505" s="44"/>
      <c r="N505" s="36"/>
      <c r="O505" s="36"/>
      <c r="P505" s="45"/>
      <c r="Q505" s="45"/>
      <c r="R505" s="44"/>
      <c r="S505" s="46" t="s">
        <v>33</v>
      </c>
      <c r="T505" s="30" t="str">
        <f>IFERROR(VLOOKUP(O505, '[1]CURSOS 2025'!A:B, 2, FALSE), "")</f>
        <v/>
      </c>
      <c r="U505" s="39">
        <f>SUM(R505:R505)</f>
        <v>0</v>
      </c>
    </row>
    <row r="506" spans="1:21" s="40" customFormat="1" ht="39.950000000000003" customHeight="1" thickBot="1" x14ac:dyDescent="0.35">
      <c r="A506" s="30">
        <f t="array" ref="A506">IF(B506&lt;&gt;"",COUNTIF($B$19:B506,"&lt;&gt;"),"")</f>
        <v>444</v>
      </c>
      <c r="B506" s="41">
        <v>328</v>
      </c>
      <c r="C506" s="42" t="s">
        <v>530</v>
      </c>
      <c r="D506" s="43" t="s">
        <v>1086</v>
      </c>
      <c r="E506" s="42" t="s">
        <v>1087</v>
      </c>
      <c r="F506" s="49" t="s">
        <v>779</v>
      </c>
      <c r="G506" s="36" t="s">
        <v>1088</v>
      </c>
      <c r="H506" s="44"/>
      <c r="I506" s="44"/>
      <c r="J506" s="44"/>
      <c r="K506" s="44"/>
      <c r="L506" s="44"/>
      <c r="M506" s="44"/>
      <c r="N506" s="36"/>
      <c r="O506" s="36"/>
      <c r="P506" s="45"/>
      <c r="Q506" s="45"/>
      <c r="R506" s="44"/>
      <c r="S506" s="46" t="s">
        <v>33</v>
      </c>
      <c r="T506" s="30" t="str">
        <f>IFERROR(VLOOKUP(O506, '[1]CURSOS 2025'!A:B, 2, FALSE), "")</f>
        <v/>
      </c>
      <c r="U506" s="39">
        <f>SUM(R506:R506)</f>
        <v>0</v>
      </c>
    </row>
    <row r="507" spans="1:21" s="40" customFormat="1" ht="39.950000000000003" customHeight="1" thickBot="1" x14ac:dyDescent="0.35">
      <c r="A507" s="30">
        <f t="array" ref="A507">IF(B507&lt;&gt;"",COUNTIF($B$19:B507,"&lt;&gt;"),"")</f>
        <v>445</v>
      </c>
      <c r="B507" s="41">
        <v>328</v>
      </c>
      <c r="C507" s="42" t="s">
        <v>530</v>
      </c>
      <c r="D507" s="43" t="s">
        <v>1089</v>
      </c>
      <c r="E507" s="42" t="s">
        <v>1090</v>
      </c>
      <c r="F507" s="49" t="s">
        <v>779</v>
      </c>
      <c r="G507" s="36" t="s">
        <v>1091</v>
      </c>
      <c r="H507" s="44"/>
      <c r="I507" s="44"/>
      <c r="J507" s="44"/>
      <c r="K507" s="44"/>
      <c r="L507" s="44"/>
      <c r="M507" s="44"/>
      <c r="N507" s="36"/>
      <c r="O507" s="36"/>
      <c r="P507" s="45"/>
      <c r="Q507" s="45"/>
      <c r="R507" s="44"/>
      <c r="S507" s="44" t="s">
        <v>33</v>
      </c>
      <c r="T507" s="30" t="str">
        <f>IFERROR(VLOOKUP(O507, '[1]CURSOS 2025'!A:B, 2, FALSE), "")</f>
        <v/>
      </c>
      <c r="U507" s="48">
        <f t="shared" ref="U507" si="86">SUM(R507)</f>
        <v>0</v>
      </c>
    </row>
    <row r="508" spans="1:21" s="40" customFormat="1" ht="39.950000000000003" customHeight="1" thickBot="1" x14ac:dyDescent="0.35">
      <c r="A508" s="30">
        <f t="array" ref="A508">IF(B508&lt;&gt;"",COUNTIF($B$19:B508,"&lt;&gt;"),"")</f>
        <v>446</v>
      </c>
      <c r="B508" s="41">
        <v>328</v>
      </c>
      <c r="C508" s="42" t="s">
        <v>530</v>
      </c>
      <c r="D508" s="43" t="s">
        <v>1092</v>
      </c>
      <c r="E508" s="42" t="s">
        <v>1093</v>
      </c>
      <c r="F508" s="49" t="s">
        <v>779</v>
      </c>
      <c r="G508" s="36" t="s">
        <v>1094</v>
      </c>
      <c r="H508" s="44"/>
      <c r="I508" s="44"/>
      <c r="J508" s="44"/>
      <c r="K508" s="44"/>
      <c r="L508" s="44"/>
      <c r="M508" s="44"/>
      <c r="N508" s="36"/>
      <c r="O508" s="36"/>
      <c r="P508" s="45"/>
      <c r="Q508" s="45"/>
      <c r="R508" s="44"/>
      <c r="S508" s="46" t="s">
        <v>33</v>
      </c>
      <c r="T508" s="30" t="str">
        <f>IFERROR(VLOOKUP(O508, '[1]CURSOS 2025'!A:B, 2, FALSE), "")</f>
        <v/>
      </c>
      <c r="U508" s="39">
        <f>SUM(R508:R508)</f>
        <v>0</v>
      </c>
    </row>
    <row r="509" spans="1:21" s="40" customFormat="1" ht="39.950000000000003" customHeight="1" thickBot="1" x14ac:dyDescent="0.35">
      <c r="A509" s="30">
        <f t="array" ref="A509">IF(B509&lt;&gt;"",COUNTIF($B$19:B509,"&lt;&gt;"),"")</f>
        <v>447</v>
      </c>
      <c r="B509" s="41">
        <v>328</v>
      </c>
      <c r="C509" s="42" t="s">
        <v>530</v>
      </c>
      <c r="D509" s="43" t="s">
        <v>1095</v>
      </c>
      <c r="E509" s="42" t="s">
        <v>1096</v>
      </c>
      <c r="F509" s="49" t="s">
        <v>779</v>
      </c>
      <c r="G509" s="36" t="s">
        <v>1097</v>
      </c>
      <c r="H509" s="44"/>
      <c r="I509" s="44"/>
      <c r="J509" s="44"/>
      <c r="K509" s="44"/>
      <c r="L509" s="44"/>
      <c r="M509" s="44"/>
      <c r="N509" s="36"/>
      <c r="O509" s="36"/>
      <c r="P509" s="45"/>
      <c r="Q509" s="45"/>
      <c r="R509" s="44"/>
      <c r="S509" s="46" t="s">
        <v>33</v>
      </c>
      <c r="T509" s="30" t="str">
        <f>IFERROR(VLOOKUP(O509, '[1]CURSOS 2025'!A:B, 2, FALSE), "")</f>
        <v/>
      </c>
      <c r="U509" s="39">
        <f>SUM(R509:R509)</f>
        <v>0</v>
      </c>
    </row>
    <row r="510" spans="1:21" s="40" customFormat="1" ht="39.950000000000003" customHeight="1" thickBot="1" x14ac:dyDescent="0.35">
      <c r="A510" s="30">
        <f t="array" ref="A510">IF(B510&lt;&gt;"",COUNTIF($B$19:B510,"&lt;&gt;"),"")</f>
        <v>448</v>
      </c>
      <c r="B510" s="41">
        <v>328</v>
      </c>
      <c r="C510" s="42" t="s">
        <v>770</v>
      </c>
      <c r="D510" s="43" t="s">
        <v>1098</v>
      </c>
      <c r="E510" s="42" t="s">
        <v>1099</v>
      </c>
      <c r="F510" s="49" t="s">
        <v>779</v>
      </c>
      <c r="G510" s="36" t="s">
        <v>1100</v>
      </c>
      <c r="H510" s="44"/>
      <c r="I510" s="44"/>
      <c r="J510" s="44"/>
      <c r="K510" s="44"/>
      <c r="L510" s="44"/>
      <c r="M510" s="44"/>
      <c r="N510" s="36"/>
      <c r="O510" s="36"/>
      <c r="P510" s="45"/>
      <c r="Q510" s="45"/>
      <c r="R510" s="44"/>
      <c r="S510" s="46" t="s">
        <v>33</v>
      </c>
      <c r="T510" s="30" t="str">
        <f>IFERROR(VLOOKUP(O510, '[1]CURSOS 2025'!A:B, 2, FALSE), "")</f>
        <v/>
      </c>
      <c r="U510" s="39">
        <f>SUM(R510:R510)</f>
        <v>0</v>
      </c>
    </row>
    <row r="511" spans="1:21" s="40" customFormat="1" ht="39.950000000000003" customHeight="1" thickBot="1" x14ac:dyDescent="0.35">
      <c r="A511" s="30">
        <f t="array" ref="A511">IF(B511&lt;&gt;"",COUNTIF($B$19:B511,"&lt;&gt;"),"")</f>
        <v>449</v>
      </c>
      <c r="B511" s="41">
        <v>328</v>
      </c>
      <c r="C511" s="42" t="s">
        <v>530</v>
      </c>
      <c r="D511" s="43" t="s">
        <v>1101</v>
      </c>
      <c r="E511" s="42" t="s">
        <v>1102</v>
      </c>
      <c r="F511" s="49" t="s">
        <v>779</v>
      </c>
      <c r="G511" s="36" t="s">
        <v>1103</v>
      </c>
      <c r="H511" s="44"/>
      <c r="I511" s="44"/>
      <c r="J511" s="44"/>
      <c r="K511" s="44"/>
      <c r="L511" s="44"/>
      <c r="M511" s="44"/>
      <c r="N511" s="36"/>
      <c r="O511" s="36"/>
      <c r="P511" s="45"/>
      <c r="Q511" s="45"/>
      <c r="R511" s="44"/>
      <c r="S511" s="44" t="s">
        <v>33</v>
      </c>
      <c r="T511" s="30" t="str">
        <f>IFERROR(VLOOKUP(O511, '[1]CURSOS 2025'!A:B, 2, FALSE), "")</f>
        <v/>
      </c>
      <c r="U511" s="48">
        <f t="shared" ref="U511:U512" si="87">SUM(R511)</f>
        <v>0</v>
      </c>
    </row>
    <row r="512" spans="1:21" s="40" customFormat="1" ht="39.950000000000003" customHeight="1" thickBot="1" x14ac:dyDescent="0.35">
      <c r="A512" s="30">
        <f t="array" ref="A512">IF(B512&lt;&gt;"",COUNTIF($B$19:B512,"&lt;&gt;"),"")</f>
        <v>450</v>
      </c>
      <c r="B512" s="41">
        <v>328</v>
      </c>
      <c r="C512" s="42" t="s">
        <v>530</v>
      </c>
      <c r="D512" s="43" t="s">
        <v>1104</v>
      </c>
      <c r="E512" s="42" t="s">
        <v>1105</v>
      </c>
      <c r="F512" s="49" t="s">
        <v>779</v>
      </c>
      <c r="G512" s="36" t="s">
        <v>1106</v>
      </c>
      <c r="H512" s="44"/>
      <c r="I512" s="44"/>
      <c r="J512" s="44"/>
      <c r="K512" s="44"/>
      <c r="L512" s="44"/>
      <c r="M512" s="44"/>
      <c r="N512" s="36"/>
      <c r="O512" s="36"/>
      <c r="P512" s="45"/>
      <c r="Q512" s="45"/>
      <c r="R512" s="44"/>
      <c r="S512" s="44" t="s">
        <v>33</v>
      </c>
      <c r="T512" s="30" t="str">
        <f>IFERROR(VLOOKUP(O512, '[1]CURSOS 2025'!A:B, 2, FALSE), "")</f>
        <v/>
      </c>
      <c r="U512" s="48">
        <f t="shared" si="87"/>
        <v>0</v>
      </c>
    </row>
    <row r="513" spans="1:21" s="40" customFormat="1" ht="39.950000000000003" customHeight="1" thickBot="1" x14ac:dyDescent="0.35">
      <c r="A513" s="30">
        <f t="array" ref="A513">IF(B513&lt;&gt;"",COUNTIF($B$19:B513,"&lt;&gt;"),"")</f>
        <v>451</v>
      </c>
      <c r="B513" s="41">
        <v>328</v>
      </c>
      <c r="C513" s="42" t="s">
        <v>530</v>
      </c>
      <c r="D513" s="43" t="s">
        <v>1107</v>
      </c>
      <c r="E513" s="42" t="s">
        <v>1108</v>
      </c>
      <c r="F513" s="49" t="s">
        <v>779</v>
      </c>
      <c r="G513" s="36" t="s">
        <v>1109</v>
      </c>
      <c r="H513" s="44"/>
      <c r="I513" s="44"/>
      <c r="J513" s="44"/>
      <c r="K513" s="44"/>
      <c r="L513" s="44"/>
      <c r="M513" s="44"/>
      <c r="N513" s="36"/>
      <c r="O513" s="36"/>
      <c r="P513" s="45"/>
      <c r="Q513" s="45"/>
      <c r="R513" s="44"/>
      <c r="S513" s="46" t="s">
        <v>33</v>
      </c>
      <c r="T513" s="30" t="str">
        <f>IFERROR(VLOOKUP(O513, '[1]CURSOS 2025'!A:B, 2, FALSE), "")</f>
        <v/>
      </c>
      <c r="U513" s="39">
        <f>SUM(R513:R513)</f>
        <v>0</v>
      </c>
    </row>
    <row r="514" spans="1:21" s="40" customFormat="1" ht="39.950000000000003" customHeight="1" thickBot="1" x14ac:dyDescent="0.35">
      <c r="A514" s="30">
        <f t="array" ref="A514">IF(B514&lt;&gt;"",COUNTIF($B$19:B514,"&lt;&gt;"),"")</f>
        <v>452</v>
      </c>
      <c r="B514" s="41">
        <v>328</v>
      </c>
      <c r="C514" s="42" t="s">
        <v>530</v>
      </c>
      <c r="D514" s="43" t="s">
        <v>1110</v>
      </c>
      <c r="E514" s="42" t="s">
        <v>1111</v>
      </c>
      <c r="F514" s="49" t="s">
        <v>779</v>
      </c>
      <c r="G514" s="36" t="s">
        <v>1112</v>
      </c>
      <c r="H514" s="44"/>
      <c r="I514" s="44"/>
      <c r="J514" s="44"/>
      <c r="K514" s="44"/>
      <c r="L514" s="44"/>
      <c r="M514" s="44"/>
      <c r="N514" s="36"/>
      <c r="O514" s="36"/>
      <c r="P514" s="45"/>
      <c r="Q514" s="45"/>
      <c r="R514" s="44"/>
      <c r="S514" s="44" t="s">
        <v>33</v>
      </c>
      <c r="T514" s="30" t="str">
        <f>IFERROR(VLOOKUP(O514, '[1]CURSOS 2025'!A:B, 2, FALSE), "")</f>
        <v/>
      </c>
      <c r="U514" s="48">
        <f t="shared" ref="U514:U515" si="88">SUM(R514)</f>
        <v>0</v>
      </c>
    </row>
    <row r="515" spans="1:21" s="40" customFormat="1" ht="39.950000000000003" customHeight="1" thickBot="1" x14ac:dyDescent="0.35">
      <c r="A515" s="30">
        <f t="array" ref="A515">IF(B515&lt;&gt;"",COUNTIF($B$19:B515,"&lt;&gt;"),"")</f>
        <v>453</v>
      </c>
      <c r="B515" s="41">
        <v>328</v>
      </c>
      <c r="C515" s="42" t="s">
        <v>530</v>
      </c>
      <c r="D515" s="43" t="s">
        <v>1113</v>
      </c>
      <c r="E515" s="42" t="s">
        <v>1114</v>
      </c>
      <c r="F515" s="49" t="s">
        <v>779</v>
      </c>
      <c r="G515" s="36" t="s">
        <v>1115</v>
      </c>
      <c r="H515" s="44"/>
      <c r="I515" s="44"/>
      <c r="J515" s="44"/>
      <c r="K515" s="44"/>
      <c r="L515" s="44"/>
      <c r="M515" s="44"/>
      <c r="N515" s="36"/>
      <c r="O515" s="36"/>
      <c r="P515" s="45"/>
      <c r="Q515" s="45"/>
      <c r="R515" s="44"/>
      <c r="S515" s="44" t="s">
        <v>33</v>
      </c>
      <c r="T515" s="30" t="str">
        <f>IFERROR(VLOOKUP(O515, '[1]CURSOS 2025'!A:B, 2, FALSE), "")</f>
        <v/>
      </c>
      <c r="U515" s="48">
        <f t="shared" si="88"/>
        <v>0</v>
      </c>
    </row>
    <row r="516" spans="1:21" s="40" customFormat="1" ht="39.950000000000003" customHeight="1" thickBot="1" x14ac:dyDescent="0.35">
      <c r="A516" s="30">
        <f t="array" ref="A516">IF(B516&lt;&gt;"",COUNTIF($B$19:B516,"&lt;&gt;"),"")</f>
        <v>454</v>
      </c>
      <c r="B516" s="41">
        <v>328</v>
      </c>
      <c r="C516" s="42" t="s">
        <v>530</v>
      </c>
      <c r="D516" s="43" t="s">
        <v>1116</v>
      </c>
      <c r="E516" s="42" t="s">
        <v>1117</v>
      </c>
      <c r="F516" s="49" t="s">
        <v>779</v>
      </c>
      <c r="G516" s="36" t="s">
        <v>1118</v>
      </c>
      <c r="H516" s="44"/>
      <c r="I516" s="44"/>
      <c r="J516" s="44"/>
      <c r="K516" s="44"/>
      <c r="L516" s="44"/>
      <c r="M516" s="44"/>
      <c r="N516" s="36"/>
      <c r="O516" s="36"/>
      <c r="P516" s="45"/>
      <c r="Q516" s="45"/>
      <c r="R516" s="44"/>
      <c r="S516" s="46" t="s">
        <v>33</v>
      </c>
      <c r="T516" s="30" t="str">
        <f>IFERROR(VLOOKUP(O516, '[1]CURSOS 2025'!A:B, 2, FALSE), "")</f>
        <v/>
      </c>
      <c r="U516" s="39">
        <f>SUM(R516:R516)</f>
        <v>0</v>
      </c>
    </row>
    <row r="517" spans="1:21" s="40" customFormat="1" ht="39.950000000000003" customHeight="1" thickBot="1" x14ac:dyDescent="0.35">
      <c r="A517" s="30">
        <f t="array" ref="A517">IF(B517&lt;&gt;"",COUNTIF($B$19:B517,"&lt;&gt;"),"")</f>
        <v>455</v>
      </c>
      <c r="B517" s="41">
        <v>328</v>
      </c>
      <c r="C517" s="42" t="s">
        <v>530</v>
      </c>
      <c r="D517" s="43" t="s">
        <v>1119</v>
      </c>
      <c r="E517" s="42" t="s">
        <v>1120</v>
      </c>
      <c r="F517" s="49" t="s">
        <v>779</v>
      </c>
      <c r="G517" s="36" t="s">
        <v>1121</v>
      </c>
      <c r="H517" s="44"/>
      <c r="I517" s="44"/>
      <c r="J517" s="44"/>
      <c r="K517" s="44"/>
      <c r="L517" s="44"/>
      <c r="M517" s="44"/>
      <c r="N517" s="36"/>
      <c r="O517" s="36"/>
      <c r="P517" s="45"/>
      <c r="Q517" s="45"/>
      <c r="R517" s="44"/>
      <c r="S517" s="46" t="s">
        <v>33</v>
      </c>
      <c r="T517" s="30" t="str">
        <f>IFERROR(VLOOKUP(O517, '[1]CURSOS 2025'!A:B, 2, FALSE), "")</f>
        <v/>
      </c>
      <c r="U517" s="39">
        <f>SUM(R517:R517)</f>
        <v>0</v>
      </c>
    </row>
    <row r="518" spans="1:21" s="40" customFormat="1" ht="39.950000000000003" customHeight="1" thickBot="1" x14ac:dyDescent="0.35">
      <c r="A518" s="30">
        <f t="array" ref="A518">IF(B518&lt;&gt;"",COUNTIF($B$19:B518,"&lt;&gt;"),"")</f>
        <v>456</v>
      </c>
      <c r="B518" s="41">
        <v>328</v>
      </c>
      <c r="C518" s="42" t="s">
        <v>697</v>
      </c>
      <c r="D518" s="43" t="s">
        <v>1122</v>
      </c>
      <c r="E518" s="42" t="s">
        <v>1123</v>
      </c>
      <c r="F518" s="49" t="s">
        <v>779</v>
      </c>
      <c r="G518" s="36" t="s">
        <v>1124</v>
      </c>
      <c r="H518" s="44"/>
      <c r="I518" s="44"/>
      <c r="J518" s="44"/>
      <c r="K518" s="44"/>
      <c r="L518" s="44"/>
      <c r="M518" s="44"/>
      <c r="N518" s="36"/>
      <c r="O518" s="36"/>
      <c r="P518" s="45"/>
      <c r="Q518" s="45"/>
      <c r="R518" s="44"/>
      <c r="S518" s="46" t="s">
        <v>33</v>
      </c>
      <c r="T518" s="30" t="str">
        <f>IFERROR(VLOOKUP(O518, '[1]CURSOS 2025'!A:B, 2, FALSE), "")</f>
        <v/>
      </c>
      <c r="U518" s="39">
        <f>SUM(R518:R518)</f>
        <v>0</v>
      </c>
    </row>
    <row r="519" spans="1:21" s="40" customFormat="1" ht="39.950000000000003" customHeight="1" thickBot="1" x14ac:dyDescent="0.35">
      <c r="A519" s="30">
        <f t="array" ref="A519">IF(B519&lt;&gt;"",COUNTIF($B$19:B519,"&lt;&gt;"),"")</f>
        <v>457</v>
      </c>
      <c r="B519" s="41">
        <v>328</v>
      </c>
      <c r="C519" s="42" t="s">
        <v>530</v>
      </c>
      <c r="D519" s="43" t="s">
        <v>1125</v>
      </c>
      <c r="E519" s="42" t="s">
        <v>1126</v>
      </c>
      <c r="F519" s="49" t="s">
        <v>779</v>
      </c>
      <c r="G519" s="36" t="s">
        <v>1127</v>
      </c>
      <c r="H519" s="44"/>
      <c r="I519" s="44"/>
      <c r="J519" s="44"/>
      <c r="K519" s="44"/>
      <c r="L519" s="44"/>
      <c r="M519" s="44"/>
      <c r="N519" s="36"/>
      <c r="O519" s="36"/>
      <c r="P519" s="45"/>
      <c r="Q519" s="45"/>
      <c r="R519" s="44"/>
      <c r="S519" s="44" t="s">
        <v>33</v>
      </c>
      <c r="T519" s="30" t="str">
        <f>IFERROR(VLOOKUP(O519, '[1]CURSOS 2025'!A:B, 2, FALSE), "")</f>
        <v/>
      </c>
      <c r="U519" s="48">
        <f t="shared" ref="U519" si="89">SUM(R519)</f>
        <v>0</v>
      </c>
    </row>
    <row r="520" spans="1:21" s="40" customFormat="1" ht="39.950000000000003" customHeight="1" thickBot="1" x14ac:dyDescent="0.35">
      <c r="A520" s="30">
        <f t="array" ref="A520">IF(B520&lt;&gt;"",COUNTIF($B$19:B520,"&lt;&gt;"),"")</f>
        <v>458</v>
      </c>
      <c r="B520" s="41">
        <v>328</v>
      </c>
      <c r="C520" s="42" t="s">
        <v>530</v>
      </c>
      <c r="D520" s="43" t="s">
        <v>1128</v>
      </c>
      <c r="E520" s="42" t="s">
        <v>1129</v>
      </c>
      <c r="F520" s="49" t="s">
        <v>779</v>
      </c>
      <c r="G520" s="36" t="s">
        <v>1130</v>
      </c>
      <c r="H520" s="44"/>
      <c r="I520" s="44"/>
      <c r="J520" s="44"/>
      <c r="K520" s="44"/>
      <c r="L520" s="44"/>
      <c r="M520" s="44"/>
      <c r="N520" s="36"/>
      <c r="O520" s="36"/>
      <c r="P520" s="45"/>
      <c r="Q520" s="45"/>
      <c r="R520" s="44"/>
      <c r="S520" s="46" t="s">
        <v>33</v>
      </c>
      <c r="T520" s="30" t="str">
        <f>IFERROR(VLOOKUP(O520, '[1]CURSOS 2025'!A:B, 2, FALSE), "")</f>
        <v/>
      </c>
      <c r="U520" s="39">
        <f t="shared" ref="U520:U541" si="90">SUM(R520:R520)</f>
        <v>0</v>
      </c>
    </row>
    <row r="521" spans="1:21" s="40" customFormat="1" ht="39.950000000000003" customHeight="1" thickBot="1" x14ac:dyDescent="0.35">
      <c r="A521" s="30">
        <f t="array" ref="A521">IF(B521&lt;&gt;"",COUNTIF($B$19:B521,"&lt;&gt;"),"")</f>
        <v>459</v>
      </c>
      <c r="B521" s="41">
        <v>328</v>
      </c>
      <c r="C521" s="42" t="s">
        <v>697</v>
      </c>
      <c r="D521" s="43" t="s">
        <v>1131</v>
      </c>
      <c r="E521" s="42" t="s">
        <v>1132</v>
      </c>
      <c r="F521" s="49" t="s">
        <v>779</v>
      </c>
      <c r="G521" s="36" t="s">
        <v>1133</v>
      </c>
      <c r="H521" s="44"/>
      <c r="I521" s="44"/>
      <c r="J521" s="44"/>
      <c r="K521" s="44"/>
      <c r="L521" s="44"/>
      <c r="M521" s="44"/>
      <c r="N521" s="36"/>
      <c r="O521" s="36"/>
      <c r="P521" s="45"/>
      <c r="Q521" s="45"/>
      <c r="R521" s="44"/>
      <c r="S521" s="46" t="s">
        <v>33</v>
      </c>
      <c r="T521" s="30" t="str">
        <f>IFERROR(VLOOKUP(O521, '[1]CURSOS 2025'!A:B, 2, FALSE), "")</f>
        <v/>
      </c>
      <c r="U521" s="39">
        <f t="shared" si="90"/>
        <v>0</v>
      </c>
    </row>
    <row r="522" spans="1:21" s="40" customFormat="1" ht="39.950000000000003" customHeight="1" thickBot="1" x14ac:dyDescent="0.35">
      <c r="A522" s="30">
        <f t="array" ref="A522">IF(B522&lt;&gt;"",COUNTIF($B$19:B522,"&lt;&gt;"),"")</f>
        <v>460</v>
      </c>
      <c r="B522" s="41">
        <v>328</v>
      </c>
      <c r="C522" s="42" t="s">
        <v>697</v>
      </c>
      <c r="D522" s="43" t="s">
        <v>1134</v>
      </c>
      <c r="E522" s="42" t="s">
        <v>1135</v>
      </c>
      <c r="F522" s="49" t="s">
        <v>779</v>
      </c>
      <c r="G522" s="36" t="s">
        <v>1136</v>
      </c>
      <c r="H522" s="44"/>
      <c r="I522" s="44"/>
      <c r="J522" s="44"/>
      <c r="K522" s="44"/>
      <c r="L522" s="44"/>
      <c r="M522" s="44"/>
      <c r="N522" s="36"/>
      <c r="O522" s="36"/>
      <c r="P522" s="45"/>
      <c r="Q522" s="45"/>
      <c r="R522" s="44"/>
      <c r="S522" s="46" t="s">
        <v>33</v>
      </c>
      <c r="T522" s="30" t="str">
        <f>IFERROR(VLOOKUP(O522, '[1]CURSOS 2025'!A:B, 2, FALSE), "")</f>
        <v/>
      </c>
      <c r="U522" s="39">
        <f t="shared" si="90"/>
        <v>0</v>
      </c>
    </row>
    <row r="523" spans="1:21" s="40" customFormat="1" ht="39.950000000000003" customHeight="1" thickBot="1" x14ac:dyDescent="0.35">
      <c r="A523" s="30">
        <f t="array" ref="A523">IF(B523&lt;&gt;"",COUNTIF($B$19:B523,"&lt;&gt;"),"")</f>
        <v>461</v>
      </c>
      <c r="B523" s="41">
        <v>328</v>
      </c>
      <c r="C523" s="42" t="s">
        <v>530</v>
      </c>
      <c r="D523" s="43" t="s">
        <v>1137</v>
      </c>
      <c r="E523" s="42" t="s">
        <v>1138</v>
      </c>
      <c r="F523" s="49" t="s">
        <v>779</v>
      </c>
      <c r="G523" s="36" t="s">
        <v>1139</v>
      </c>
      <c r="H523" s="44"/>
      <c r="I523" s="44"/>
      <c r="J523" s="44"/>
      <c r="K523" s="44"/>
      <c r="L523" s="44"/>
      <c r="M523" s="44"/>
      <c r="N523" s="36"/>
      <c r="O523" s="36"/>
      <c r="P523" s="45"/>
      <c r="Q523" s="45"/>
      <c r="R523" s="44"/>
      <c r="S523" s="46" t="s">
        <v>33</v>
      </c>
      <c r="T523" s="30" t="str">
        <f>IFERROR(VLOOKUP(O523, '[1]CURSOS 2025'!A:B, 2, FALSE), "")</f>
        <v/>
      </c>
      <c r="U523" s="39">
        <f t="shared" si="90"/>
        <v>0</v>
      </c>
    </row>
    <row r="524" spans="1:21" s="40" customFormat="1" ht="39.950000000000003" customHeight="1" thickBot="1" x14ac:dyDescent="0.35">
      <c r="A524" s="30">
        <f t="array" ref="A524">IF(B524&lt;&gt;"",COUNTIF($B$19:B524,"&lt;&gt;"),"")</f>
        <v>462</v>
      </c>
      <c r="B524" s="41">
        <v>328</v>
      </c>
      <c r="C524" s="42" t="s">
        <v>697</v>
      </c>
      <c r="D524" s="43" t="s">
        <v>1140</v>
      </c>
      <c r="E524" s="42" t="s">
        <v>1141</v>
      </c>
      <c r="F524" s="49" t="s">
        <v>779</v>
      </c>
      <c r="G524" s="36" t="s">
        <v>1142</v>
      </c>
      <c r="H524" s="44"/>
      <c r="I524" s="44"/>
      <c r="J524" s="44"/>
      <c r="K524" s="44"/>
      <c r="L524" s="44"/>
      <c r="M524" s="44"/>
      <c r="N524" s="36"/>
      <c r="O524" s="36"/>
      <c r="P524" s="45"/>
      <c r="Q524" s="45"/>
      <c r="R524" s="44"/>
      <c r="S524" s="46" t="s">
        <v>33</v>
      </c>
      <c r="T524" s="30" t="str">
        <f>IFERROR(VLOOKUP(O524, '[1]CURSOS 2025'!A:B, 2, FALSE), "")</f>
        <v/>
      </c>
      <c r="U524" s="39">
        <f t="shared" si="90"/>
        <v>0</v>
      </c>
    </row>
    <row r="525" spans="1:21" s="40" customFormat="1" ht="39.950000000000003" customHeight="1" thickBot="1" x14ac:dyDescent="0.35">
      <c r="A525" s="30">
        <f t="array" ref="A525">IF(B525&lt;&gt;"",COUNTIF($B$19:B525,"&lt;&gt;"),"")</f>
        <v>463</v>
      </c>
      <c r="B525" s="41">
        <v>328</v>
      </c>
      <c r="C525" s="42" t="s">
        <v>697</v>
      </c>
      <c r="D525" s="43" t="s">
        <v>1143</v>
      </c>
      <c r="E525" s="42" t="s">
        <v>1144</v>
      </c>
      <c r="F525" s="49" t="s">
        <v>779</v>
      </c>
      <c r="G525" s="49" t="s">
        <v>1145</v>
      </c>
      <c r="H525" s="44"/>
      <c r="I525" s="44"/>
      <c r="J525" s="44"/>
      <c r="K525" s="44"/>
      <c r="L525" s="44"/>
      <c r="M525" s="44"/>
      <c r="N525" s="36"/>
      <c r="O525" s="36"/>
      <c r="P525" s="45"/>
      <c r="Q525" s="45"/>
      <c r="R525" s="44"/>
      <c r="S525" s="46" t="s">
        <v>33</v>
      </c>
      <c r="T525" s="30" t="str">
        <f>IFERROR(VLOOKUP(O525, '[1]CURSOS 2025'!A:B, 2, FALSE), "")</f>
        <v/>
      </c>
      <c r="U525" s="39">
        <f t="shared" si="90"/>
        <v>0</v>
      </c>
    </row>
    <row r="526" spans="1:21" s="40" customFormat="1" ht="39.950000000000003" customHeight="1" thickBot="1" x14ac:dyDescent="0.35">
      <c r="A526" s="30">
        <f t="array" ref="A526">IF(B526&lt;&gt;"",COUNTIF($B$19:B526,"&lt;&gt;"),"")</f>
        <v>464</v>
      </c>
      <c r="B526" s="41">
        <v>328</v>
      </c>
      <c r="C526" s="42" t="s">
        <v>530</v>
      </c>
      <c r="D526" s="43" t="s">
        <v>1146</v>
      </c>
      <c r="E526" s="42" t="s">
        <v>1147</v>
      </c>
      <c r="F526" s="49" t="s">
        <v>779</v>
      </c>
      <c r="G526" s="36" t="s">
        <v>1148</v>
      </c>
      <c r="H526" s="44"/>
      <c r="I526" s="44"/>
      <c r="J526" s="44"/>
      <c r="K526" s="44"/>
      <c r="L526" s="44"/>
      <c r="M526" s="44"/>
      <c r="N526" s="36"/>
      <c r="O526" s="36"/>
      <c r="P526" s="45"/>
      <c r="Q526" s="45"/>
      <c r="R526" s="44"/>
      <c r="S526" s="46" t="s">
        <v>33</v>
      </c>
      <c r="T526" s="30" t="str">
        <f>IFERROR(VLOOKUP(O526, '[1]CURSOS 2025'!A:B, 2, FALSE), "")</f>
        <v/>
      </c>
      <c r="U526" s="39">
        <f t="shared" si="90"/>
        <v>0</v>
      </c>
    </row>
    <row r="527" spans="1:21" s="40" customFormat="1" ht="39.950000000000003" customHeight="1" thickBot="1" x14ac:dyDescent="0.35">
      <c r="A527" s="30">
        <f t="array" ref="A527">IF(B527&lt;&gt;"",COUNTIF($B$19:B527,"&lt;&gt;"),"")</f>
        <v>465</v>
      </c>
      <c r="B527" s="41">
        <v>328</v>
      </c>
      <c r="C527" s="42" t="s">
        <v>530</v>
      </c>
      <c r="D527" s="43" t="s">
        <v>1149</v>
      </c>
      <c r="E527" s="42" t="s">
        <v>1150</v>
      </c>
      <c r="F527" s="49" t="s">
        <v>779</v>
      </c>
      <c r="G527" s="36" t="s">
        <v>1151</v>
      </c>
      <c r="H527" s="44"/>
      <c r="I527" s="44"/>
      <c r="J527" s="44"/>
      <c r="K527" s="44"/>
      <c r="L527" s="44"/>
      <c r="M527" s="44"/>
      <c r="N527" s="36"/>
      <c r="O527" s="36"/>
      <c r="P527" s="45"/>
      <c r="Q527" s="45"/>
      <c r="R527" s="44"/>
      <c r="S527" s="46" t="s">
        <v>33</v>
      </c>
      <c r="T527" s="30" t="str">
        <f>IFERROR(VLOOKUP(O527, '[1]CURSOS 2025'!A:B, 2, FALSE), "")</f>
        <v/>
      </c>
      <c r="U527" s="39">
        <f t="shared" si="90"/>
        <v>0</v>
      </c>
    </row>
    <row r="528" spans="1:21" s="40" customFormat="1" ht="39.950000000000003" customHeight="1" thickBot="1" x14ac:dyDescent="0.35">
      <c r="A528" s="30">
        <f t="array" ref="A528">IF(B528&lt;&gt;"",COUNTIF($B$19:B528,"&lt;&gt;"),"")</f>
        <v>466</v>
      </c>
      <c r="B528" s="41">
        <v>328</v>
      </c>
      <c r="C528" s="42" t="s">
        <v>530</v>
      </c>
      <c r="D528" s="43" t="s">
        <v>1152</v>
      </c>
      <c r="E528" s="42" t="s">
        <v>1153</v>
      </c>
      <c r="F528" s="49" t="s">
        <v>779</v>
      </c>
      <c r="G528" s="36" t="s">
        <v>1154</v>
      </c>
      <c r="H528" s="44"/>
      <c r="I528" s="44"/>
      <c r="J528" s="44"/>
      <c r="K528" s="44"/>
      <c r="L528" s="44"/>
      <c r="M528" s="44"/>
      <c r="N528" s="36"/>
      <c r="O528" s="36"/>
      <c r="P528" s="45"/>
      <c r="Q528" s="45"/>
      <c r="R528" s="44"/>
      <c r="S528" s="46" t="s">
        <v>33</v>
      </c>
      <c r="T528" s="30" t="str">
        <f>IFERROR(VLOOKUP(O528, '[1]CURSOS 2025'!A:B, 2, FALSE), "")</f>
        <v/>
      </c>
      <c r="U528" s="39">
        <f t="shared" si="90"/>
        <v>0</v>
      </c>
    </row>
    <row r="529" spans="1:21" s="40" customFormat="1" ht="39.950000000000003" customHeight="1" thickBot="1" x14ac:dyDescent="0.35">
      <c r="A529" s="30">
        <f t="array" ref="A529">IF(B529&lt;&gt;"",COUNTIF($B$19:B529,"&lt;&gt;"),"")</f>
        <v>467</v>
      </c>
      <c r="B529" s="41">
        <v>328</v>
      </c>
      <c r="C529" s="42" t="s">
        <v>530</v>
      </c>
      <c r="D529" s="43" t="s">
        <v>1155</v>
      </c>
      <c r="E529" s="42" t="s">
        <v>1156</v>
      </c>
      <c r="F529" s="49" t="s">
        <v>779</v>
      </c>
      <c r="G529" s="36" t="s">
        <v>1157</v>
      </c>
      <c r="H529" s="44"/>
      <c r="I529" s="44"/>
      <c r="J529" s="44"/>
      <c r="K529" s="44"/>
      <c r="L529" s="44"/>
      <c r="M529" s="44"/>
      <c r="N529" s="36"/>
      <c r="O529" s="36"/>
      <c r="P529" s="45"/>
      <c r="Q529" s="45"/>
      <c r="R529" s="44"/>
      <c r="S529" s="46" t="s">
        <v>33</v>
      </c>
      <c r="T529" s="30" t="str">
        <f>IFERROR(VLOOKUP(O529, '[1]CURSOS 2025'!A:B, 2, FALSE), "")</f>
        <v/>
      </c>
      <c r="U529" s="39">
        <f t="shared" si="90"/>
        <v>0</v>
      </c>
    </row>
    <row r="530" spans="1:21" s="40" customFormat="1" ht="39.950000000000003" customHeight="1" thickBot="1" x14ac:dyDescent="0.35">
      <c r="A530" s="30">
        <f t="array" ref="A530">IF(B530&lt;&gt;"",COUNTIF($B$19:B530,"&lt;&gt;"),"")</f>
        <v>468</v>
      </c>
      <c r="B530" s="41">
        <v>328</v>
      </c>
      <c r="C530" s="42" t="s">
        <v>530</v>
      </c>
      <c r="D530" s="43" t="s">
        <v>1158</v>
      </c>
      <c r="E530" s="42" t="s">
        <v>1159</v>
      </c>
      <c r="F530" s="49" t="s">
        <v>779</v>
      </c>
      <c r="G530" s="36" t="s">
        <v>1160</v>
      </c>
      <c r="H530" s="44"/>
      <c r="I530" s="44"/>
      <c r="J530" s="44"/>
      <c r="K530" s="44"/>
      <c r="L530" s="44"/>
      <c r="M530" s="44"/>
      <c r="N530" s="36"/>
      <c r="O530" s="36"/>
      <c r="P530" s="45"/>
      <c r="Q530" s="45"/>
      <c r="R530" s="44"/>
      <c r="S530" s="46" t="s">
        <v>33</v>
      </c>
      <c r="T530" s="30" t="str">
        <f>IFERROR(VLOOKUP(O530, '[1]CURSOS 2025'!A:B, 2, FALSE), "")</f>
        <v/>
      </c>
      <c r="U530" s="39">
        <f t="shared" si="90"/>
        <v>0</v>
      </c>
    </row>
    <row r="531" spans="1:21" s="40" customFormat="1" ht="39.950000000000003" customHeight="1" thickBot="1" x14ac:dyDescent="0.35">
      <c r="A531" s="30">
        <f t="array" ref="A531">IF(B531&lt;&gt;"",COUNTIF($B$19:B531,"&lt;&gt;"),"")</f>
        <v>469</v>
      </c>
      <c r="B531" s="41">
        <v>328</v>
      </c>
      <c r="C531" s="42" t="s">
        <v>697</v>
      </c>
      <c r="D531" s="43" t="s">
        <v>1161</v>
      </c>
      <c r="E531" s="42" t="s">
        <v>1162</v>
      </c>
      <c r="F531" s="49" t="s">
        <v>779</v>
      </c>
      <c r="G531" s="36" t="s">
        <v>1163</v>
      </c>
      <c r="H531" s="44"/>
      <c r="I531" s="44"/>
      <c r="J531" s="44"/>
      <c r="K531" s="44"/>
      <c r="L531" s="44"/>
      <c r="M531" s="44"/>
      <c r="N531" s="36"/>
      <c r="O531" s="36"/>
      <c r="P531" s="45"/>
      <c r="Q531" s="45"/>
      <c r="R531" s="44"/>
      <c r="S531" s="46" t="s">
        <v>33</v>
      </c>
      <c r="T531" s="30" t="str">
        <f>IFERROR(VLOOKUP(O531, '[1]CURSOS 2025'!A:B, 2, FALSE), "")</f>
        <v/>
      </c>
      <c r="U531" s="39">
        <f t="shared" si="90"/>
        <v>0</v>
      </c>
    </row>
    <row r="532" spans="1:21" s="40" customFormat="1" ht="39.950000000000003" customHeight="1" thickBot="1" x14ac:dyDescent="0.35">
      <c r="A532" s="30">
        <f t="array" ref="A532">IF(B532&lt;&gt;"",COUNTIF($B$19:B532,"&lt;&gt;"),"")</f>
        <v>470</v>
      </c>
      <c r="B532" s="41">
        <v>328</v>
      </c>
      <c r="C532" s="42" t="s">
        <v>530</v>
      </c>
      <c r="D532" s="43" t="s">
        <v>1164</v>
      </c>
      <c r="E532" s="42" t="s">
        <v>1165</v>
      </c>
      <c r="F532" s="49" t="s">
        <v>779</v>
      </c>
      <c r="G532" s="36" t="s">
        <v>1166</v>
      </c>
      <c r="H532" s="44"/>
      <c r="I532" s="44"/>
      <c r="J532" s="44"/>
      <c r="K532" s="44"/>
      <c r="L532" s="44"/>
      <c r="M532" s="44"/>
      <c r="N532" s="36"/>
      <c r="O532" s="36"/>
      <c r="P532" s="45"/>
      <c r="Q532" s="45"/>
      <c r="R532" s="44"/>
      <c r="S532" s="46" t="s">
        <v>33</v>
      </c>
      <c r="T532" s="30" t="str">
        <f>IFERROR(VLOOKUP(O532, '[1]CURSOS 2025'!A:B, 2, FALSE), "")</f>
        <v/>
      </c>
      <c r="U532" s="39">
        <f t="shared" si="90"/>
        <v>0</v>
      </c>
    </row>
    <row r="533" spans="1:21" s="40" customFormat="1" ht="39.950000000000003" customHeight="1" thickBot="1" x14ac:dyDescent="0.35">
      <c r="A533" s="30">
        <f t="array" ref="A533">IF(B533&lt;&gt;"",COUNTIF($B$19:B533,"&lt;&gt;"),"")</f>
        <v>471</v>
      </c>
      <c r="B533" s="41">
        <v>328</v>
      </c>
      <c r="C533" s="42" t="s">
        <v>530</v>
      </c>
      <c r="D533" s="43" t="s">
        <v>1167</v>
      </c>
      <c r="E533" s="42" t="s">
        <v>1168</v>
      </c>
      <c r="F533" s="49" t="s">
        <v>779</v>
      </c>
      <c r="G533" s="36" t="s">
        <v>1169</v>
      </c>
      <c r="H533" s="44"/>
      <c r="I533" s="44"/>
      <c r="J533" s="44"/>
      <c r="K533" s="44"/>
      <c r="L533" s="44"/>
      <c r="M533" s="44"/>
      <c r="N533" s="36"/>
      <c r="O533" s="36"/>
      <c r="P533" s="45"/>
      <c r="Q533" s="45"/>
      <c r="R533" s="44"/>
      <c r="S533" s="46" t="s">
        <v>33</v>
      </c>
      <c r="T533" s="30" t="str">
        <f>IFERROR(VLOOKUP(O533, '[1]CURSOS 2025'!A:B, 2, FALSE), "")</f>
        <v/>
      </c>
      <c r="U533" s="39">
        <f t="shared" si="90"/>
        <v>0</v>
      </c>
    </row>
    <row r="534" spans="1:21" s="40" customFormat="1" ht="39.950000000000003" customHeight="1" thickBot="1" x14ac:dyDescent="0.35">
      <c r="A534" s="30">
        <f t="array" ref="A534">IF(B534&lt;&gt;"",COUNTIF($B$19:B534,"&lt;&gt;"),"")</f>
        <v>472</v>
      </c>
      <c r="B534" s="41">
        <v>328</v>
      </c>
      <c r="C534" s="42" t="s">
        <v>530</v>
      </c>
      <c r="D534" s="43" t="s">
        <v>1170</v>
      </c>
      <c r="E534" s="42" t="s">
        <v>1171</v>
      </c>
      <c r="F534" s="49" t="s">
        <v>779</v>
      </c>
      <c r="G534" s="36" t="s">
        <v>1172</v>
      </c>
      <c r="H534" s="44"/>
      <c r="I534" s="44"/>
      <c r="J534" s="44"/>
      <c r="K534" s="44"/>
      <c r="L534" s="44"/>
      <c r="M534" s="44"/>
      <c r="N534" s="36"/>
      <c r="O534" s="36"/>
      <c r="P534" s="45"/>
      <c r="Q534" s="45"/>
      <c r="R534" s="44"/>
      <c r="S534" s="46" t="s">
        <v>33</v>
      </c>
      <c r="T534" s="30" t="str">
        <f>IFERROR(VLOOKUP(O534, '[1]CURSOS 2025'!A:B, 2, FALSE), "")</f>
        <v/>
      </c>
      <c r="U534" s="39">
        <f t="shared" si="90"/>
        <v>0</v>
      </c>
    </row>
    <row r="535" spans="1:21" s="40" customFormat="1" ht="39.950000000000003" customHeight="1" thickBot="1" x14ac:dyDescent="0.35">
      <c r="A535" s="30">
        <f t="array" ref="A535">IF(B535&lt;&gt;"",COUNTIF($B$19:B535,"&lt;&gt;"),"")</f>
        <v>473</v>
      </c>
      <c r="B535" s="41">
        <v>328</v>
      </c>
      <c r="C535" s="42" t="s">
        <v>530</v>
      </c>
      <c r="D535" s="43" t="s">
        <v>1173</v>
      </c>
      <c r="E535" s="42" t="s">
        <v>1174</v>
      </c>
      <c r="F535" s="49" t="s">
        <v>779</v>
      </c>
      <c r="G535" s="36" t="s">
        <v>1175</v>
      </c>
      <c r="H535" s="44"/>
      <c r="I535" s="44"/>
      <c r="J535" s="44"/>
      <c r="K535" s="44"/>
      <c r="L535" s="44"/>
      <c r="M535" s="44"/>
      <c r="N535" s="36"/>
      <c r="O535" s="36"/>
      <c r="P535" s="45"/>
      <c r="Q535" s="45"/>
      <c r="R535" s="44"/>
      <c r="S535" s="46" t="s">
        <v>33</v>
      </c>
      <c r="T535" s="30" t="str">
        <f>IFERROR(VLOOKUP(O535, '[1]CURSOS 2025'!A:B, 2, FALSE), "")</f>
        <v/>
      </c>
      <c r="U535" s="39">
        <f t="shared" si="90"/>
        <v>0</v>
      </c>
    </row>
    <row r="536" spans="1:21" s="40" customFormat="1" ht="39.950000000000003" customHeight="1" thickBot="1" x14ac:dyDescent="0.35">
      <c r="A536" s="30">
        <f t="array" ref="A536">IF(B536&lt;&gt;"",COUNTIF($B$19:B536,"&lt;&gt;"),"")</f>
        <v>474</v>
      </c>
      <c r="B536" s="41">
        <v>328</v>
      </c>
      <c r="C536" s="42" t="s">
        <v>530</v>
      </c>
      <c r="D536" s="43" t="s">
        <v>1176</v>
      </c>
      <c r="E536" s="42" t="s">
        <v>1177</v>
      </c>
      <c r="F536" s="49" t="s">
        <v>779</v>
      </c>
      <c r="G536" s="49"/>
      <c r="H536" s="44"/>
      <c r="I536" s="44"/>
      <c r="J536" s="44"/>
      <c r="K536" s="44"/>
      <c r="L536" s="44"/>
      <c r="M536" s="44"/>
      <c r="N536" s="36"/>
      <c r="O536" s="36"/>
      <c r="P536" s="45"/>
      <c r="Q536" s="45"/>
      <c r="R536" s="44"/>
      <c r="S536" s="46" t="s">
        <v>33</v>
      </c>
      <c r="T536" s="30" t="str">
        <f>IFERROR(VLOOKUP(O536, '[1]CURSOS 2025'!A:B, 2, FALSE), "")</f>
        <v/>
      </c>
      <c r="U536" s="39">
        <f t="shared" si="90"/>
        <v>0</v>
      </c>
    </row>
    <row r="537" spans="1:21" s="40" customFormat="1" ht="39.950000000000003" customHeight="1" thickBot="1" x14ac:dyDescent="0.35">
      <c r="A537" s="30">
        <f t="array" ref="A537">IF(B537&lt;&gt;"",COUNTIF($B$19:B537,"&lt;&gt;"),"")</f>
        <v>475</v>
      </c>
      <c r="B537" s="41">
        <v>328</v>
      </c>
      <c r="C537" s="42" t="s">
        <v>1178</v>
      </c>
      <c r="D537" s="43" t="s">
        <v>1179</v>
      </c>
      <c r="E537" s="42" t="s">
        <v>1180</v>
      </c>
      <c r="F537" s="49" t="s">
        <v>779</v>
      </c>
      <c r="G537" s="49"/>
      <c r="H537" s="44"/>
      <c r="I537" s="44"/>
      <c r="J537" s="44"/>
      <c r="K537" s="44"/>
      <c r="L537" s="44"/>
      <c r="M537" s="44"/>
      <c r="N537" s="36"/>
      <c r="O537" s="36"/>
      <c r="P537" s="45"/>
      <c r="Q537" s="45"/>
      <c r="R537" s="44"/>
      <c r="S537" s="46" t="s">
        <v>33</v>
      </c>
      <c r="T537" s="30" t="str">
        <f>IFERROR(VLOOKUP(O537, '[1]CURSOS 2025'!A:B, 2, FALSE), "")</f>
        <v/>
      </c>
      <c r="U537" s="39">
        <f t="shared" si="90"/>
        <v>0</v>
      </c>
    </row>
    <row r="538" spans="1:21" s="40" customFormat="1" ht="39.950000000000003" customHeight="1" thickBot="1" x14ac:dyDescent="0.35">
      <c r="A538" s="30">
        <f t="array" ref="A538">IF(B538&lt;&gt;"",COUNTIF($B$19:B538,"&lt;&gt;"),"")</f>
        <v>476</v>
      </c>
      <c r="B538" s="41">
        <v>328</v>
      </c>
      <c r="C538" s="42" t="s">
        <v>530</v>
      </c>
      <c r="D538" s="43" t="s">
        <v>1181</v>
      </c>
      <c r="E538" s="42" t="s">
        <v>1182</v>
      </c>
      <c r="F538" s="49" t="s">
        <v>779</v>
      </c>
      <c r="G538" s="49"/>
      <c r="H538" s="44"/>
      <c r="I538" s="44"/>
      <c r="J538" s="44"/>
      <c r="K538" s="44"/>
      <c r="L538" s="44"/>
      <c r="M538" s="44"/>
      <c r="N538" s="36"/>
      <c r="O538" s="36"/>
      <c r="P538" s="45"/>
      <c r="Q538" s="45"/>
      <c r="R538" s="44"/>
      <c r="S538" s="46" t="s">
        <v>33</v>
      </c>
      <c r="T538" s="30" t="str">
        <f>IFERROR(VLOOKUP(O538, '[1]CURSOS 2025'!A:B, 2, FALSE), "")</f>
        <v/>
      </c>
      <c r="U538" s="39">
        <f t="shared" si="90"/>
        <v>0</v>
      </c>
    </row>
    <row r="539" spans="1:21" s="40" customFormat="1" ht="39.950000000000003" customHeight="1" thickBot="1" x14ac:dyDescent="0.35">
      <c r="A539" s="30">
        <f t="array" ref="A539">IF(B539&lt;&gt;"",COUNTIF($B$19:B539,"&lt;&gt;"),"")</f>
        <v>477</v>
      </c>
      <c r="B539" s="41">
        <v>328</v>
      </c>
      <c r="C539" s="42" t="s">
        <v>530</v>
      </c>
      <c r="D539" s="43" t="s">
        <v>1183</v>
      </c>
      <c r="E539" s="42" t="s">
        <v>1184</v>
      </c>
      <c r="F539" s="49" t="s">
        <v>779</v>
      </c>
      <c r="G539" s="49"/>
      <c r="H539" s="44"/>
      <c r="I539" s="44"/>
      <c r="J539" s="44"/>
      <c r="K539" s="44"/>
      <c r="L539" s="44"/>
      <c r="M539" s="44"/>
      <c r="N539" s="36"/>
      <c r="O539" s="36"/>
      <c r="P539" s="45"/>
      <c r="Q539" s="45"/>
      <c r="R539" s="44"/>
      <c r="S539" s="46" t="s">
        <v>33</v>
      </c>
      <c r="T539" s="30" t="str">
        <f>IFERROR(VLOOKUP(O539, '[1]CURSOS 2025'!A:B, 2, FALSE), "")</f>
        <v/>
      </c>
      <c r="U539" s="39">
        <f t="shared" si="90"/>
        <v>0</v>
      </c>
    </row>
    <row r="540" spans="1:21" s="40" customFormat="1" ht="39.950000000000003" customHeight="1" thickBot="1" x14ac:dyDescent="0.35">
      <c r="A540" s="30">
        <f t="array" ref="A540">IF(B540&lt;&gt;"",COUNTIF($B$19:B540,"&lt;&gt;"),"")</f>
        <v>478</v>
      </c>
      <c r="B540" s="41">
        <v>328</v>
      </c>
      <c r="C540" s="42" t="s">
        <v>530</v>
      </c>
      <c r="D540" s="43" t="s">
        <v>1185</v>
      </c>
      <c r="E540" s="42" t="s">
        <v>1186</v>
      </c>
      <c r="F540" s="49" t="s">
        <v>779</v>
      </c>
      <c r="G540" s="49"/>
      <c r="H540" s="44"/>
      <c r="I540" s="44"/>
      <c r="J540" s="44"/>
      <c r="K540" s="44"/>
      <c r="L540" s="44"/>
      <c r="M540" s="44"/>
      <c r="N540" s="36"/>
      <c r="O540" s="36"/>
      <c r="P540" s="45"/>
      <c r="Q540" s="45"/>
      <c r="R540" s="44"/>
      <c r="S540" s="46" t="s">
        <v>33</v>
      </c>
      <c r="T540" s="30" t="str">
        <f>IFERROR(VLOOKUP(O540, '[1]CURSOS 2025'!A:B, 2, FALSE), "")</f>
        <v/>
      </c>
      <c r="U540" s="39">
        <f t="shared" si="90"/>
        <v>0</v>
      </c>
    </row>
    <row r="541" spans="1:21" s="40" customFormat="1" ht="39.950000000000003" customHeight="1" thickBot="1" x14ac:dyDescent="0.35">
      <c r="A541" s="30">
        <f t="array" ref="A541">IF(B541&lt;&gt;"",COUNTIF($B$19:B541,"&lt;&gt;"),"")</f>
        <v>479</v>
      </c>
      <c r="B541" s="41">
        <v>328</v>
      </c>
      <c r="C541" s="42" t="s">
        <v>530</v>
      </c>
      <c r="D541" s="43" t="s">
        <v>1187</v>
      </c>
      <c r="E541" s="42" t="s">
        <v>1188</v>
      </c>
      <c r="F541" s="49" t="s">
        <v>779</v>
      </c>
      <c r="G541" s="49"/>
      <c r="H541" s="44"/>
      <c r="I541" s="44"/>
      <c r="J541" s="44"/>
      <c r="K541" s="44"/>
      <c r="L541" s="44"/>
      <c r="M541" s="44"/>
      <c r="N541" s="36"/>
      <c r="O541" s="36"/>
      <c r="P541" s="45"/>
      <c r="Q541" s="45"/>
      <c r="R541" s="44"/>
      <c r="S541" s="46" t="s">
        <v>33</v>
      </c>
      <c r="T541" s="30" t="str">
        <f>IFERROR(VLOOKUP(O541, '[1]CURSOS 2025'!A:B, 2, FALSE), "")</f>
        <v/>
      </c>
      <c r="U541" s="39">
        <f t="shared" si="90"/>
        <v>0</v>
      </c>
    </row>
    <row r="542" spans="1:21" s="40" customFormat="1" ht="39.950000000000003" customHeight="1" thickBot="1" x14ac:dyDescent="0.35">
      <c r="A542" s="30">
        <f t="array" ref="A542">IF(B542&lt;&gt;"",COUNTIF($B$19:B542,"&lt;&gt;"),"")</f>
        <v>480</v>
      </c>
      <c r="B542" s="41">
        <v>329</v>
      </c>
      <c r="C542" s="42" t="s">
        <v>530</v>
      </c>
      <c r="D542" s="43" t="s">
        <v>1189</v>
      </c>
      <c r="E542" s="42" t="s">
        <v>1190</v>
      </c>
      <c r="F542" s="49" t="s">
        <v>779</v>
      </c>
      <c r="G542" s="49" t="s">
        <v>1191</v>
      </c>
      <c r="H542" s="44"/>
      <c r="I542" s="44"/>
      <c r="J542" s="44"/>
      <c r="K542" s="44"/>
      <c r="L542" s="44"/>
      <c r="M542" s="44"/>
      <c r="N542" s="36"/>
      <c r="O542" s="36"/>
      <c r="P542" s="45"/>
      <c r="Q542" s="45"/>
      <c r="R542" s="44"/>
      <c r="S542" s="46" t="s">
        <v>33</v>
      </c>
      <c r="T542" s="30" t="str">
        <f>IFERROR(VLOOKUP(O542, '[1]CURSOS 2025'!A:B, 2, FALSE), "")</f>
        <v/>
      </c>
      <c r="U542" s="39">
        <f>R542</f>
        <v>0</v>
      </c>
    </row>
    <row r="543" spans="1:21" s="59" customFormat="1" ht="39.950000000000003" customHeight="1" thickBot="1" x14ac:dyDescent="0.35">
      <c r="A543" s="30" t="str">
        <f t="array" ref="A543">IF(B543&lt;&gt;"",COUNTIF($B$19:B543,"&lt;&gt;"),"")</f>
        <v/>
      </c>
      <c r="B543" s="50"/>
      <c r="C543" s="51"/>
      <c r="D543" s="52"/>
      <c r="E543" s="51"/>
      <c r="F543" s="53"/>
      <c r="G543" s="53"/>
      <c r="H543" s="54"/>
      <c r="I543" s="54"/>
      <c r="J543" s="54"/>
      <c r="K543" s="54"/>
      <c r="L543" s="54"/>
      <c r="M543" s="54"/>
      <c r="N543" s="55"/>
      <c r="O543" s="55"/>
      <c r="P543" s="56"/>
      <c r="Q543" s="56"/>
      <c r="R543" s="54"/>
      <c r="S543" s="54"/>
      <c r="T543" s="57" t="str">
        <f>IFERROR(VLOOKUP(O543, '[1]CURSOS 2025'!A:B, 2, FALSE), "")</f>
        <v/>
      </c>
      <c r="U543" s="58"/>
    </row>
    <row r="544" spans="1:21" s="40" customFormat="1" ht="39.950000000000003" customHeight="1" thickBot="1" x14ac:dyDescent="0.35">
      <c r="A544" s="30">
        <f t="array" ref="A544">IF(B544&lt;&gt;"",COUNTIF($B$19:B544,"&lt;&gt;"),"")</f>
        <v>481</v>
      </c>
      <c r="B544" s="41">
        <v>336</v>
      </c>
      <c r="C544" s="42" t="s">
        <v>726</v>
      </c>
      <c r="D544" s="43">
        <v>1437</v>
      </c>
      <c r="E544" s="42" t="s">
        <v>1192</v>
      </c>
      <c r="F544" s="49" t="s">
        <v>1193</v>
      </c>
      <c r="G544" s="36" t="s">
        <v>1194</v>
      </c>
      <c r="H544" s="44"/>
      <c r="I544" s="44"/>
      <c r="J544" s="44"/>
      <c r="K544" s="44"/>
      <c r="L544" s="44"/>
      <c r="M544" s="44"/>
      <c r="N544" s="36"/>
      <c r="O544" s="36"/>
      <c r="P544" s="45"/>
      <c r="Q544" s="45"/>
      <c r="R544" s="44"/>
      <c r="S544" s="46" t="s">
        <v>33</v>
      </c>
      <c r="T544" s="30" t="str">
        <f>IFERROR(VLOOKUP(O544, '[1]CURSOS 2025'!A:B, 2, FALSE), "")</f>
        <v/>
      </c>
      <c r="U544" s="39">
        <f t="shared" ref="U544:U553" si="91">SUM(R544:R544)</f>
        <v>0</v>
      </c>
    </row>
    <row r="545" spans="1:21" s="40" customFormat="1" ht="39.950000000000003" customHeight="1" thickBot="1" x14ac:dyDescent="0.35">
      <c r="A545" s="30">
        <f t="array" ref="A545">IF(B545&lt;&gt;"",COUNTIF($B$19:B545,"&lt;&gt;"),"")</f>
        <v>482</v>
      </c>
      <c r="B545" s="41">
        <v>336</v>
      </c>
      <c r="C545" s="42" t="s">
        <v>141</v>
      </c>
      <c r="D545" s="43">
        <v>1414</v>
      </c>
      <c r="E545" s="42" t="s">
        <v>1195</v>
      </c>
      <c r="F545" s="49" t="s">
        <v>1193</v>
      </c>
      <c r="G545" s="36" t="s">
        <v>1196</v>
      </c>
      <c r="H545" s="44"/>
      <c r="I545" s="44"/>
      <c r="J545" s="44"/>
      <c r="K545" s="44"/>
      <c r="L545" s="44"/>
      <c r="M545" s="44"/>
      <c r="N545" s="36"/>
      <c r="O545" s="36"/>
      <c r="P545" s="45"/>
      <c r="Q545" s="45"/>
      <c r="R545" s="44"/>
      <c r="S545" s="46" t="s">
        <v>33</v>
      </c>
      <c r="T545" s="30" t="str">
        <f>IFERROR(VLOOKUP(O545, '[1]CURSOS 2025'!A:B, 2, FALSE), "")</f>
        <v/>
      </c>
      <c r="U545" s="39">
        <f t="shared" si="91"/>
        <v>0</v>
      </c>
    </row>
    <row r="546" spans="1:21" s="40" customFormat="1" ht="83.25" customHeight="1" thickBot="1" x14ac:dyDescent="0.35">
      <c r="A546" s="30">
        <f t="array" ref="A546">IF(B546&lt;&gt;"",COUNTIF($B$19:B546,"&lt;&gt;"),"")</f>
        <v>483</v>
      </c>
      <c r="B546" s="41">
        <v>336</v>
      </c>
      <c r="C546" s="42" t="s">
        <v>38</v>
      </c>
      <c r="D546" s="43">
        <v>206102</v>
      </c>
      <c r="E546" s="42" t="s">
        <v>1197</v>
      </c>
      <c r="F546" s="49" t="s">
        <v>1193</v>
      </c>
      <c r="G546" s="36" t="s">
        <v>1198</v>
      </c>
      <c r="H546" s="44"/>
      <c r="I546" s="44"/>
      <c r="J546" s="44"/>
      <c r="K546" s="44" t="s">
        <v>231</v>
      </c>
      <c r="L546" s="44" t="s">
        <v>231</v>
      </c>
      <c r="M546" s="44" t="s">
        <v>231</v>
      </c>
      <c r="N546" s="36" t="s">
        <v>1537</v>
      </c>
      <c r="O546" s="36" t="s">
        <v>1712</v>
      </c>
      <c r="P546" s="45">
        <v>46069</v>
      </c>
      <c r="Q546" s="45">
        <v>46069</v>
      </c>
      <c r="R546" s="44">
        <v>2</v>
      </c>
      <c r="S546" s="46" t="s">
        <v>37</v>
      </c>
      <c r="T546" s="30" t="s">
        <v>234</v>
      </c>
      <c r="U546" s="224">
        <f>SUM(R546:R548)</f>
        <v>6</v>
      </c>
    </row>
    <row r="547" spans="1:21" s="40" customFormat="1" ht="83.25" customHeight="1" thickBot="1" x14ac:dyDescent="0.35">
      <c r="A547" s="30" t="str">
        <f t="array" ref="A547">IF(B547&lt;&gt;"",COUNTIF($B$19:B547,"&lt;&gt;"),"")</f>
        <v/>
      </c>
      <c r="B547" s="41"/>
      <c r="C547" s="42"/>
      <c r="D547" s="43"/>
      <c r="E547" s="42"/>
      <c r="F547" s="49"/>
      <c r="G547" s="36"/>
      <c r="H547" s="44"/>
      <c r="I547" s="44"/>
      <c r="J547" s="44"/>
      <c r="K547" s="44" t="s">
        <v>231</v>
      </c>
      <c r="L547" s="44" t="s">
        <v>231</v>
      </c>
      <c r="M547" s="44" t="s">
        <v>231</v>
      </c>
      <c r="N547" s="36" t="s">
        <v>1537</v>
      </c>
      <c r="O547" s="36" t="s">
        <v>1715</v>
      </c>
      <c r="P547" s="45">
        <v>46071</v>
      </c>
      <c r="Q547" s="45">
        <v>46071</v>
      </c>
      <c r="R547" s="44">
        <v>2</v>
      </c>
      <c r="S547" s="46" t="s">
        <v>37</v>
      </c>
      <c r="T547" s="30" t="s">
        <v>234</v>
      </c>
      <c r="U547" s="225"/>
    </row>
    <row r="548" spans="1:21" s="40" customFormat="1" ht="83.25" customHeight="1" thickBot="1" x14ac:dyDescent="0.35">
      <c r="A548" s="30" t="str">
        <f t="array" ref="A548">IF(B548&lt;&gt;"",COUNTIF($B$19:B548,"&lt;&gt;"),"")</f>
        <v/>
      </c>
      <c r="B548" s="41"/>
      <c r="C548" s="42"/>
      <c r="D548" s="43"/>
      <c r="E548" s="42"/>
      <c r="F548" s="49"/>
      <c r="G548" s="36"/>
      <c r="H548" s="44"/>
      <c r="I548" s="44"/>
      <c r="J548" s="44"/>
      <c r="K548" s="44" t="s">
        <v>231</v>
      </c>
      <c r="L548" s="44" t="s">
        <v>231</v>
      </c>
      <c r="M548" s="44" t="s">
        <v>231</v>
      </c>
      <c r="N548" s="36" t="s">
        <v>1537</v>
      </c>
      <c r="O548" s="36" t="s">
        <v>1716</v>
      </c>
      <c r="P548" s="45">
        <v>46071</v>
      </c>
      <c r="Q548" s="45">
        <v>46071</v>
      </c>
      <c r="R548" s="44">
        <v>2</v>
      </c>
      <c r="S548" s="46" t="s">
        <v>37</v>
      </c>
      <c r="T548" s="30" t="s">
        <v>234</v>
      </c>
      <c r="U548" s="226"/>
    </row>
    <row r="549" spans="1:21" s="40" customFormat="1" ht="39.950000000000003" customHeight="1" thickBot="1" x14ac:dyDescent="0.35">
      <c r="A549" s="30">
        <f t="array" ref="A549">IF(B549&lt;&gt;"",COUNTIF($B$19:B549,"&lt;&gt;"),"")</f>
        <v>484</v>
      </c>
      <c r="B549" s="41">
        <v>336</v>
      </c>
      <c r="C549" s="42" t="s">
        <v>1199</v>
      </c>
      <c r="D549" s="43">
        <v>3641</v>
      </c>
      <c r="E549" s="42" t="s">
        <v>1200</v>
      </c>
      <c r="F549" s="49" t="s">
        <v>1193</v>
      </c>
      <c r="G549" s="36" t="s">
        <v>1201</v>
      </c>
      <c r="H549" s="44"/>
      <c r="I549" s="44"/>
      <c r="J549" s="44"/>
      <c r="K549" s="44" t="s">
        <v>231</v>
      </c>
      <c r="L549" s="44" t="s">
        <v>231</v>
      </c>
      <c r="M549" s="44" t="s">
        <v>231</v>
      </c>
      <c r="N549" s="36" t="s">
        <v>1537</v>
      </c>
      <c r="O549" s="36" t="s">
        <v>1714</v>
      </c>
      <c r="P549" s="45">
        <v>46070</v>
      </c>
      <c r="Q549" s="45">
        <v>46070</v>
      </c>
      <c r="R549" s="44">
        <v>2</v>
      </c>
      <c r="S549" s="46" t="s">
        <v>33</v>
      </c>
      <c r="T549" s="30" t="s">
        <v>234</v>
      </c>
      <c r="U549" s="68">
        <f t="shared" si="91"/>
        <v>2</v>
      </c>
    </row>
    <row r="550" spans="1:21" s="40" customFormat="1" ht="39.950000000000003" customHeight="1" thickBot="1" x14ac:dyDescent="0.35">
      <c r="A550" s="30">
        <f t="array" ref="A550">IF(B550&lt;&gt;"",COUNTIF($B$19:B550,"&lt;&gt;"),"")</f>
        <v>485</v>
      </c>
      <c r="B550" s="41">
        <v>336</v>
      </c>
      <c r="C550" s="42" t="s">
        <v>1199</v>
      </c>
      <c r="D550" s="43">
        <v>206241</v>
      </c>
      <c r="E550" s="42" t="s">
        <v>1202</v>
      </c>
      <c r="F550" s="49" t="s">
        <v>1193</v>
      </c>
      <c r="G550" s="36" t="s">
        <v>1203</v>
      </c>
      <c r="H550" s="44"/>
      <c r="I550" s="44"/>
      <c r="J550" s="44"/>
      <c r="K550" s="44" t="s">
        <v>231</v>
      </c>
      <c r="L550" s="44" t="s">
        <v>231</v>
      </c>
      <c r="M550" s="44" t="s">
        <v>231</v>
      </c>
      <c r="N550" s="36" t="s">
        <v>1537</v>
      </c>
      <c r="O550" s="36" t="s">
        <v>1712</v>
      </c>
      <c r="P550" s="45">
        <v>46069</v>
      </c>
      <c r="Q550" s="45">
        <v>46069</v>
      </c>
      <c r="R550" s="44">
        <v>2</v>
      </c>
      <c r="S550" s="46" t="s">
        <v>33</v>
      </c>
      <c r="T550" s="30" t="s">
        <v>234</v>
      </c>
      <c r="U550" s="224">
        <f>SUM(R550:R552)</f>
        <v>6</v>
      </c>
    </row>
    <row r="551" spans="1:21" s="40" customFormat="1" ht="39.950000000000003" customHeight="1" thickBot="1" x14ac:dyDescent="0.35">
      <c r="A551" s="30" t="str">
        <f t="array" ref="A551">IF(B551&lt;&gt;"",COUNTIF($B$19:B551,"&lt;&gt;"),"")</f>
        <v/>
      </c>
      <c r="B551" s="41"/>
      <c r="C551" s="42"/>
      <c r="D551" s="43"/>
      <c r="E551" s="42"/>
      <c r="F551" s="49"/>
      <c r="G551" s="36"/>
      <c r="H551" s="44"/>
      <c r="I551" s="44"/>
      <c r="J551" s="44"/>
      <c r="K551" s="44" t="s">
        <v>231</v>
      </c>
      <c r="L551" s="44" t="s">
        <v>231</v>
      </c>
      <c r="M551" s="44" t="s">
        <v>231</v>
      </c>
      <c r="N551" s="36" t="s">
        <v>1537</v>
      </c>
      <c r="O551" s="36" t="s">
        <v>1715</v>
      </c>
      <c r="P551" s="45">
        <v>46071</v>
      </c>
      <c r="Q551" s="45">
        <v>46071</v>
      </c>
      <c r="R551" s="44">
        <v>2</v>
      </c>
      <c r="S551" s="46" t="s">
        <v>33</v>
      </c>
      <c r="T551" s="30" t="s">
        <v>234</v>
      </c>
      <c r="U551" s="225"/>
    </row>
    <row r="552" spans="1:21" s="40" customFormat="1" ht="39.950000000000003" customHeight="1" thickBot="1" x14ac:dyDescent="0.35">
      <c r="A552" s="30" t="str">
        <f t="array" ref="A552">IF(B552&lt;&gt;"",COUNTIF($B$19:B552,"&lt;&gt;"),"")</f>
        <v/>
      </c>
      <c r="B552" s="41"/>
      <c r="C552" s="42"/>
      <c r="D552" s="43"/>
      <c r="E552" s="42"/>
      <c r="F552" s="49"/>
      <c r="G552" s="36"/>
      <c r="H552" s="44"/>
      <c r="I552" s="44"/>
      <c r="J552" s="44"/>
      <c r="K552" s="44" t="s">
        <v>231</v>
      </c>
      <c r="L552" s="44" t="s">
        <v>231</v>
      </c>
      <c r="M552" s="44" t="s">
        <v>231</v>
      </c>
      <c r="N552" s="36" t="s">
        <v>1537</v>
      </c>
      <c r="O552" s="36" t="s">
        <v>1716</v>
      </c>
      <c r="P552" s="45">
        <v>46071</v>
      </c>
      <c r="Q552" s="45">
        <v>46071</v>
      </c>
      <c r="R552" s="44">
        <v>2</v>
      </c>
      <c r="S552" s="46" t="s">
        <v>33</v>
      </c>
      <c r="T552" s="30" t="s">
        <v>234</v>
      </c>
      <c r="U552" s="225"/>
    </row>
    <row r="553" spans="1:21" s="40" customFormat="1" ht="30.75" customHeight="1" thickBot="1" x14ac:dyDescent="0.35">
      <c r="A553" s="30">
        <f t="array" ref="A553">IF(B553&lt;&gt;"",COUNTIF($B$19:B553,"&lt;&gt;"),"")</f>
        <v>486</v>
      </c>
      <c r="B553" s="41">
        <v>336</v>
      </c>
      <c r="C553" s="42" t="s">
        <v>1204</v>
      </c>
      <c r="D553" s="43">
        <v>1560</v>
      </c>
      <c r="E553" s="42" t="s">
        <v>1205</v>
      </c>
      <c r="F553" s="49" t="s">
        <v>1193</v>
      </c>
      <c r="G553" s="36" t="s">
        <v>1206</v>
      </c>
      <c r="H553" s="44"/>
      <c r="I553" s="44"/>
      <c r="J553" s="44"/>
      <c r="K553" s="44" t="s">
        <v>231</v>
      </c>
      <c r="L553" s="44" t="s">
        <v>231</v>
      </c>
      <c r="M553" s="44" t="s">
        <v>231</v>
      </c>
      <c r="N553" s="36" t="s">
        <v>1537</v>
      </c>
      <c r="O553" s="36" t="s">
        <v>1712</v>
      </c>
      <c r="P553" s="45">
        <v>46069</v>
      </c>
      <c r="Q553" s="45">
        <v>46069</v>
      </c>
      <c r="R553" s="44">
        <v>2</v>
      </c>
      <c r="S553" s="46" t="s">
        <v>33</v>
      </c>
      <c r="T553" s="30" t="s">
        <v>234</v>
      </c>
      <c r="U553" s="71">
        <f t="shared" si="91"/>
        <v>2</v>
      </c>
    </row>
    <row r="554" spans="1:21" s="40" customFormat="1" ht="60.75" customHeight="1" thickBot="1" x14ac:dyDescent="0.35">
      <c r="A554" s="30">
        <f t="array" ref="A554">IF(B554&lt;&gt;"",COUNTIF($B$19:B554,"&lt;&gt;"),"")</f>
        <v>487</v>
      </c>
      <c r="B554" s="41">
        <v>336</v>
      </c>
      <c r="C554" s="42" t="s">
        <v>753</v>
      </c>
      <c r="D554" s="43">
        <v>6117</v>
      </c>
      <c r="E554" s="42" t="s">
        <v>1207</v>
      </c>
      <c r="F554" s="49" t="s">
        <v>1193</v>
      </c>
      <c r="G554" s="36" t="s">
        <v>1208</v>
      </c>
      <c r="H554" s="44"/>
      <c r="I554" s="44"/>
      <c r="J554" s="44"/>
      <c r="K554" s="44"/>
      <c r="L554" s="44"/>
      <c r="M554" s="44"/>
      <c r="N554" s="36"/>
      <c r="O554" s="36"/>
      <c r="P554" s="45"/>
      <c r="Q554" s="45"/>
      <c r="R554" s="44"/>
      <c r="S554" s="44" t="s">
        <v>33</v>
      </c>
      <c r="T554" s="30" t="str">
        <f>IFERROR(VLOOKUP(O554, '[1]CURSOS 2025'!A:B, 2, FALSE), "")</f>
        <v/>
      </c>
      <c r="U554" s="48">
        <f t="shared" ref="U554:U555" si="92">SUM(R554)</f>
        <v>0</v>
      </c>
    </row>
    <row r="555" spans="1:21" s="40" customFormat="1" ht="60.75" customHeight="1" thickBot="1" x14ac:dyDescent="0.35">
      <c r="A555" s="30">
        <f t="array" ref="A555">IF(B555&lt;&gt;"",COUNTIF($B$19:B555,"&lt;&gt;"),"")</f>
        <v>488</v>
      </c>
      <c r="B555" s="41">
        <v>336</v>
      </c>
      <c r="C555" s="42" t="s">
        <v>753</v>
      </c>
      <c r="D555" s="43" t="s">
        <v>2307</v>
      </c>
      <c r="E555" s="42" t="s">
        <v>2308</v>
      </c>
      <c r="F555" s="49" t="s">
        <v>1193</v>
      </c>
      <c r="G555" s="36"/>
      <c r="H555" s="44"/>
      <c r="I555" s="44"/>
      <c r="J555" s="44"/>
      <c r="K555" s="216" t="s">
        <v>231</v>
      </c>
      <c r="L555" s="214" t="s">
        <v>231</v>
      </c>
      <c r="M555" s="214" t="s">
        <v>231</v>
      </c>
      <c r="N555" s="217" t="s">
        <v>1537</v>
      </c>
      <c r="O555" s="217" t="s">
        <v>2305</v>
      </c>
      <c r="P555" s="213">
        <v>46120</v>
      </c>
      <c r="Q555" s="213">
        <v>46120</v>
      </c>
      <c r="R555" s="214">
        <v>20</v>
      </c>
      <c r="S555" s="46" t="s">
        <v>33</v>
      </c>
      <c r="T555" s="30" t="s">
        <v>234</v>
      </c>
      <c r="U555" s="48">
        <f t="shared" si="92"/>
        <v>20</v>
      </c>
    </row>
    <row r="556" spans="1:21" s="40" customFormat="1" ht="60.75" customHeight="1" thickBot="1" x14ac:dyDescent="0.35">
      <c r="A556" s="30">
        <f t="array" ref="A556">IF(B556&lt;&gt;"",COUNTIF($B$19:B556,"&lt;&gt;"),"")</f>
        <v>489</v>
      </c>
      <c r="B556" s="41">
        <v>336</v>
      </c>
      <c r="C556" s="42" t="s">
        <v>1209</v>
      </c>
      <c r="D556" s="43">
        <v>6004</v>
      </c>
      <c r="E556" s="42" t="s">
        <v>1210</v>
      </c>
      <c r="F556" s="49" t="s">
        <v>1193</v>
      </c>
      <c r="G556" s="36" t="s">
        <v>1211</v>
      </c>
      <c r="H556" s="44"/>
      <c r="I556" s="44"/>
      <c r="J556" s="44"/>
      <c r="K556" s="44"/>
      <c r="L556" s="44"/>
      <c r="M556" s="44"/>
      <c r="N556" s="36"/>
      <c r="O556" s="36"/>
      <c r="P556" s="45"/>
      <c r="Q556" s="45"/>
      <c r="R556" s="44"/>
      <c r="S556" s="46" t="s">
        <v>37</v>
      </c>
      <c r="T556" s="30" t="str">
        <f>IFERROR(VLOOKUP(O556, '[1]CURSOS 2025'!A:B, 2, FALSE), "")</f>
        <v/>
      </c>
      <c r="U556" s="39">
        <f>SUM(R556:R556)</f>
        <v>0</v>
      </c>
    </row>
    <row r="557" spans="1:21" s="40" customFormat="1" ht="62.25" customHeight="1" thickBot="1" x14ac:dyDescent="0.35">
      <c r="A557" s="30">
        <f t="array" ref="A557">IF(B557&lt;&gt;"",COUNTIF($B$19:B557,"&lt;&gt;"),"")</f>
        <v>490</v>
      </c>
      <c r="B557" s="41">
        <v>336</v>
      </c>
      <c r="C557" s="42" t="s">
        <v>45</v>
      </c>
      <c r="D557" s="43">
        <v>5552</v>
      </c>
      <c r="E557" s="42" t="s">
        <v>1212</v>
      </c>
      <c r="F557" s="49" t="s">
        <v>1193</v>
      </c>
      <c r="G557" s="36" t="s">
        <v>1213</v>
      </c>
      <c r="H557" s="44"/>
      <c r="I557" s="44"/>
      <c r="J557" s="44"/>
      <c r="K557" s="44"/>
      <c r="L557" s="44"/>
      <c r="M557" s="44"/>
      <c r="N557" s="36"/>
      <c r="O557" s="36"/>
      <c r="P557" s="45"/>
      <c r="Q557" s="45"/>
      <c r="R557" s="44"/>
      <c r="S557" s="46" t="s">
        <v>37</v>
      </c>
      <c r="T557" s="30" t="str">
        <f>IFERROR(VLOOKUP(O557, '[1]CURSOS 2025'!A:B, 2, FALSE), "")</f>
        <v/>
      </c>
      <c r="U557" s="39">
        <f>SUM(R557:R557)</f>
        <v>0</v>
      </c>
    </row>
    <row r="558" spans="1:21" s="40" customFormat="1" ht="60.75" customHeight="1" thickBot="1" x14ac:dyDescent="0.35">
      <c r="A558" s="30">
        <f t="array" ref="A558">IF(B558&lt;&gt;"",COUNTIF($B$19:B558,"&lt;&gt;"),"")</f>
        <v>491</v>
      </c>
      <c r="B558" s="41">
        <v>336</v>
      </c>
      <c r="C558" s="42" t="s">
        <v>45</v>
      </c>
      <c r="D558" s="43">
        <v>5165</v>
      </c>
      <c r="E558" s="42" t="s">
        <v>1214</v>
      </c>
      <c r="F558" s="49" t="s">
        <v>1193</v>
      </c>
      <c r="G558" s="36" t="s">
        <v>1215</v>
      </c>
      <c r="H558" s="44"/>
      <c r="I558" s="44"/>
      <c r="J558" s="44"/>
      <c r="K558" s="44"/>
      <c r="L558" s="44"/>
      <c r="M558" s="44"/>
      <c r="N558" s="36"/>
      <c r="O558" s="36"/>
      <c r="P558" s="45"/>
      <c r="Q558" s="45"/>
      <c r="R558" s="44"/>
      <c r="S558" s="46" t="s">
        <v>37</v>
      </c>
      <c r="T558" s="30" t="str">
        <f>IFERROR(VLOOKUP(O558, '[1]CURSOS 2025'!A:B, 2, FALSE), "")</f>
        <v/>
      </c>
      <c r="U558" s="39">
        <f>SUM(R558)</f>
        <v>0</v>
      </c>
    </row>
    <row r="559" spans="1:21" s="40" customFormat="1" ht="39.950000000000003" customHeight="1" thickBot="1" x14ac:dyDescent="0.35">
      <c r="A559" s="30">
        <f t="array" ref="A559">IF(B559&lt;&gt;"",COUNTIF($B$19:B559,"&lt;&gt;"),"")</f>
        <v>492</v>
      </c>
      <c r="B559" s="41">
        <v>336</v>
      </c>
      <c r="C559" s="42" t="s">
        <v>1216</v>
      </c>
      <c r="D559" s="43">
        <v>3918</v>
      </c>
      <c r="E559" s="42" t="s">
        <v>1217</v>
      </c>
      <c r="F559" s="49" t="s">
        <v>1193</v>
      </c>
      <c r="G559" s="36" t="s">
        <v>1218</v>
      </c>
      <c r="H559" s="44"/>
      <c r="I559" s="44"/>
      <c r="J559" s="44"/>
      <c r="K559" s="44"/>
      <c r="L559" s="44"/>
      <c r="M559" s="44"/>
      <c r="N559" s="36"/>
      <c r="O559" s="36"/>
      <c r="P559" s="45"/>
      <c r="Q559" s="45"/>
      <c r="R559" s="44"/>
      <c r="S559" s="46" t="s">
        <v>33</v>
      </c>
      <c r="T559" s="30" t="str">
        <f>IFERROR(VLOOKUP(O559, '[1]CURSOS 2025'!A:B, 2, FALSE), "")</f>
        <v/>
      </c>
      <c r="U559" s="39">
        <f>SUM(R559:R559)</f>
        <v>0</v>
      </c>
    </row>
    <row r="560" spans="1:21" s="40" customFormat="1" ht="30.75" customHeight="1" thickBot="1" x14ac:dyDescent="0.35">
      <c r="A560" s="30">
        <f t="array" ref="A560">IF(B560&lt;&gt;"",COUNTIF($B$19:B560,"&lt;&gt;"),"")</f>
        <v>493</v>
      </c>
      <c r="B560" s="41">
        <v>336</v>
      </c>
      <c r="C560" s="42" t="s">
        <v>1219</v>
      </c>
      <c r="D560" s="43">
        <v>3882</v>
      </c>
      <c r="E560" s="42" t="s">
        <v>1220</v>
      </c>
      <c r="F560" s="49" t="s">
        <v>1193</v>
      </c>
      <c r="G560" s="36" t="s">
        <v>1221</v>
      </c>
      <c r="H560" s="44"/>
      <c r="I560" s="44"/>
      <c r="J560" s="44"/>
      <c r="K560" s="44"/>
      <c r="L560" s="44"/>
      <c r="M560" s="44"/>
      <c r="N560" s="36"/>
      <c r="O560" s="36"/>
      <c r="P560" s="45"/>
      <c r="Q560" s="45"/>
      <c r="R560" s="44"/>
      <c r="S560" s="46" t="s">
        <v>33</v>
      </c>
      <c r="T560" s="30" t="str">
        <f>IFERROR(VLOOKUP(O560, '[1]CURSOS 2025'!A:B, 2, FALSE), "")</f>
        <v/>
      </c>
      <c r="U560" s="39">
        <f>SUM(R560:R560)</f>
        <v>0</v>
      </c>
    </row>
    <row r="561" spans="1:21" s="40" customFormat="1" ht="30.75" customHeight="1" thickBot="1" x14ac:dyDescent="0.35">
      <c r="A561" s="30">
        <f t="array" ref="A561">IF(B561&lt;&gt;"",COUNTIF($B$19:B561,"&lt;&gt;"),"")</f>
        <v>494</v>
      </c>
      <c r="B561" s="41">
        <v>336</v>
      </c>
      <c r="C561" s="42" t="s">
        <v>697</v>
      </c>
      <c r="D561" s="43">
        <v>3929</v>
      </c>
      <c r="E561" s="42" t="s">
        <v>1222</v>
      </c>
      <c r="F561" s="49" t="s">
        <v>1193</v>
      </c>
      <c r="G561" s="36" t="s">
        <v>1223</v>
      </c>
      <c r="H561" s="44"/>
      <c r="I561" s="44"/>
      <c r="J561" s="44"/>
      <c r="K561" s="44"/>
      <c r="L561" s="44"/>
      <c r="M561" s="44"/>
      <c r="N561" s="36"/>
      <c r="O561" s="36"/>
      <c r="P561" s="45"/>
      <c r="Q561" s="45"/>
      <c r="R561" s="44"/>
      <c r="S561" s="46" t="s">
        <v>33</v>
      </c>
      <c r="T561" s="30" t="str">
        <f>IFERROR(VLOOKUP(O561, '[1]CURSOS 2025'!A:B, 2, FALSE), "")</f>
        <v/>
      </c>
      <c r="U561" s="39">
        <f>SUM(R561:R561)</f>
        <v>0</v>
      </c>
    </row>
    <row r="562" spans="1:21" s="40" customFormat="1" ht="39.950000000000003" customHeight="1" thickBot="1" x14ac:dyDescent="0.35">
      <c r="A562" s="30">
        <f t="array" ref="A562">IF(B562&lt;&gt;"",COUNTIF($B$19:B562,"&lt;&gt;"),"")</f>
        <v>495</v>
      </c>
      <c r="B562" s="41">
        <v>336</v>
      </c>
      <c r="C562" s="42" t="s">
        <v>1219</v>
      </c>
      <c r="D562" s="43">
        <v>3925</v>
      </c>
      <c r="E562" s="42" t="s">
        <v>1224</v>
      </c>
      <c r="F562" s="49" t="s">
        <v>1193</v>
      </c>
      <c r="G562" s="36" t="s">
        <v>1225</v>
      </c>
      <c r="H562" s="44"/>
      <c r="I562" s="44"/>
      <c r="J562" s="44"/>
      <c r="K562" s="44"/>
      <c r="L562" s="44"/>
      <c r="M562" s="44"/>
      <c r="N562" s="36"/>
      <c r="O562" s="36"/>
      <c r="P562" s="45"/>
      <c r="Q562" s="45"/>
      <c r="R562" s="44"/>
      <c r="S562" s="46" t="s">
        <v>33</v>
      </c>
      <c r="T562" s="30" t="str">
        <f>IFERROR(VLOOKUP(O562, '[1]CURSOS 2025'!A:B, 2, FALSE), "")</f>
        <v/>
      </c>
      <c r="U562" s="39">
        <f>SUM(R562:R562)</f>
        <v>0</v>
      </c>
    </row>
    <row r="563" spans="1:21" s="40" customFormat="1" ht="39.950000000000003" customHeight="1" thickBot="1" x14ac:dyDescent="0.35">
      <c r="A563" s="30">
        <f t="array" ref="A563">IF(B563&lt;&gt;"",COUNTIF($B$19:B563,"&lt;&gt;"),"")</f>
        <v>496</v>
      </c>
      <c r="B563" s="41">
        <v>336</v>
      </c>
      <c r="C563" s="42" t="s">
        <v>697</v>
      </c>
      <c r="D563" s="43">
        <v>3859</v>
      </c>
      <c r="E563" s="42" t="s">
        <v>1226</v>
      </c>
      <c r="F563" s="49" t="s">
        <v>1193</v>
      </c>
      <c r="G563" s="36" t="s">
        <v>1227</v>
      </c>
      <c r="H563" s="44"/>
      <c r="I563" s="44"/>
      <c r="J563" s="44"/>
      <c r="K563" s="44"/>
      <c r="L563" s="44"/>
      <c r="M563" s="44"/>
      <c r="N563" s="36"/>
      <c r="O563" s="36"/>
      <c r="P563" s="45"/>
      <c r="Q563" s="45"/>
      <c r="R563" s="44"/>
      <c r="S563" s="46" t="s">
        <v>33</v>
      </c>
      <c r="T563" s="30" t="str">
        <f>IFERROR(VLOOKUP(O563, '[1]CURSOS 2025'!A:B, 2, FALSE), "")</f>
        <v/>
      </c>
      <c r="U563" s="39">
        <f>SUM(R563:R563)</f>
        <v>0</v>
      </c>
    </row>
    <row r="564" spans="1:21" s="40" customFormat="1" ht="39.950000000000003" customHeight="1" thickBot="1" x14ac:dyDescent="0.35">
      <c r="A564" s="30">
        <f t="array" ref="A564">IF(B564&lt;&gt;"",COUNTIF($B$19:B564,"&lt;&gt;"),"")</f>
        <v>497</v>
      </c>
      <c r="B564" s="41">
        <v>336</v>
      </c>
      <c r="C564" s="42" t="s">
        <v>1228</v>
      </c>
      <c r="D564" s="43">
        <v>3762</v>
      </c>
      <c r="E564" s="42" t="s">
        <v>1229</v>
      </c>
      <c r="F564" s="49" t="s">
        <v>1193</v>
      </c>
      <c r="G564" s="36" t="s">
        <v>1230</v>
      </c>
      <c r="H564" s="44"/>
      <c r="I564" s="44"/>
      <c r="J564" s="44"/>
      <c r="K564" s="44"/>
      <c r="L564" s="44"/>
      <c r="M564" s="44"/>
      <c r="N564" s="36"/>
      <c r="O564" s="36"/>
      <c r="P564" s="45"/>
      <c r="Q564" s="45"/>
      <c r="R564" s="44"/>
      <c r="S564" s="44" t="s">
        <v>33</v>
      </c>
      <c r="T564" s="30" t="str">
        <f>IFERROR(VLOOKUP(O564, '[1]CURSOS 2025'!A:B, 2, FALSE), "")</f>
        <v/>
      </c>
      <c r="U564" s="48">
        <f t="shared" ref="U564" si="93">SUM(R564)</f>
        <v>0</v>
      </c>
    </row>
    <row r="565" spans="1:21" s="40" customFormat="1" ht="39.950000000000003" customHeight="1" thickBot="1" x14ac:dyDescent="0.35">
      <c r="A565" s="30">
        <f t="array" ref="A565">IF(B565&lt;&gt;"",COUNTIF($B$19:B565,"&lt;&gt;"),"")</f>
        <v>498</v>
      </c>
      <c r="B565" s="41">
        <v>336</v>
      </c>
      <c r="C565" s="42" t="s">
        <v>697</v>
      </c>
      <c r="D565" s="43">
        <v>3876</v>
      </c>
      <c r="E565" s="42" t="s">
        <v>1231</v>
      </c>
      <c r="F565" s="49" t="s">
        <v>1193</v>
      </c>
      <c r="G565" s="36" t="s">
        <v>1232</v>
      </c>
      <c r="H565" s="44"/>
      <c r="I565" s="44"/>
      <c r="J565" s="44"/>
      <c r="K565" s="44"/>
      <c r="L565" s="44"/>
      <c r="M565" s="44"/>
      <c r="N565" s="36"/>
      <c r="O565" s="36"/>
      <c r="P565" s="45"/>
      <c r="Q565" s="45"/>
      <c r="R565" s="44"/>
      <c r="S565" s="46" t="s">
        <v>33</v>
      </c>
      <c r="T565" s="30" t="str">
        <f>IFERROR(VLOOKUP(O565, '[1]CURSOS 2025'!A:B, 2, FALSE), "")</f>
        <v/>
      </c>
      <c r="U565" s="39">
        <f t="shared" ref="U565:U602" si="94">SUM(R565:R565)</f>
        <v>0</v>
      </c>
    </row>
    <row r="566" spans="1:21" s="40" customFormat="1" ht="39.950000000000003" customHeight="1" thickBot="1" x14ac:dyDescent="0.35">
      <c r="A566" s="30">
        <f t="array" ref="A566">IF(B566&lt;&gt;"",COUNTIF($B$19:B566,"&lt;&gt;"),"")</f>
        <v>499</v>
      </c>
      <c r="B566" s="41">
        <v>336</v>
      </c>
      <c r="C566" s="42" t="s">
        <v>697</v>
      </c>
      <c r="D566" s="43">
        <v>3708</v>
      </c>
      <c r="E566" s="42" t="s">
        <v>1233</v>
      </c>
      <c r="F566" s="49" t="s">
        <v>1193</v>
      </c>
      <c r="G566" s="36" t="s">
        <v>1234</v>
      </c>
      <c r="H566" s="44"/>
      <c r="I566" s="44"/>
      <c r="J566" s="44"/>
      <c r="K566" s="44"/>
      <c r="L566" s="44"/>
      <c r="M566" s="44"/>
      <c r="N566" s="36"/>
      <c r="O566" s="36"/>
      <c r="P566" s="45"/>
      <c r="Q566" s="45"/>
      <c r="R566" s="44"/>
      <c r="S566" s="46" t="s">
        <v>33</v>
      </c>
      <c r="T566" s="30" t="str">
        <f>IFERROR(VLOOKUP(O566, '[1]CURSOS 2025'!A:B, 2, FALSE), "")</f>
        <v/>
      </c>
      <c r="U566" s="39">
        <f t="shared" si="94"/>
        <v>0</v>
      </c>
    </row>
    <row r="567" spans="1:21" s="40" customFormat="1" ht="39.950000000000003" customHeight="1" thickBot="1" x14ac:dyDescent="0.35">
      <c r="A567" s="30">
        <f t="array" ref="A567">IF(B567&lt;&gt;"",COUNTIF($B$19:B567,"&lt;&gt;"),"")</f>
        <v>500</v>
      </c>
      <c r="B567" s="41">
        <v>336</v>
      </c>
      <c r="C567" s="42" t="s">
        <v>697</v>
      </c>
      <c r="D567" s="43">
        <v>3853</v>
      </c>
      <c r="E567" s="42" t="s">
        <v>1235</v>
      </c>
      <c r="F567" s="49" t="s">
        <v>1193</v>
      </c>
      <c r="G567" s="36" t="s">
        <v>1236</v>
      </c>
      <c r="H567" s="44"/>
      <c r="I567" s="44"/>
      <c r="J567" s="44"/>
      <c r="K567" s="44"/>
      <c r="L567" s="44"/>
      <c r="M567" s="44"/>
      <c r="N567" s="36"/>
      <c r="O567" s="36"/>
      <c r="P567" s="45"/>
      <c r="Q567" s="45"/>
      <c r="R567" s="44"/>
      <c r="S567" s="46" t="s">
        <v>33</v>
      </c>
      <c r="T567" s="30" t="str">
        <f>IFERROR(VLOOKUP(O567, '[1]CURSOS 2025'!A:B, 2, FALSE), "")</f>
        <v/>
      </c>
      <c r="U567" s="39">
        <f t="shared" si="94"/>
        <v>0</v>
      </c>
    </row>
    <row r="568" spans="1:21" s="40" customFormat="1" ht="39.950000000000003" customHeight="1" thickBot="1" x14ac:dyDescent="0.35">
      <c r="A568" s="30">
        <f t="array" ref="A568">IF(B568&lt;&gt;"",COUNTIF($B$19:B568,"&lt;&gt;"),"")</f>
        <v>501</v>
      </c>
      <c r="B568" s="41">
        <v>336</v>
      </c>
      <c r="C568" s="42" t="s">
        <v>697</v>
      </c>
      <c r="D568" s="43">
        <v>3684</v>
      </c>
      <c r="E568" s="42" t="s">
        <v>1237</v>
      </c>
      <c r="F568" s="49" t="s">
        <v>1193</v>
      </c>
      <c r="G568" s="36" t="s">
        <v>1238</v>
      </c>
      <c r="H568" s="44"/>
      <c r="I568" s="44"/>
      <c r="J568" s="44"/>
      <c r="K568" s="44"/>
      <c r="L568" s="44"/>
      <c r="M568" s="44"/>
      <c r="N568" s="36"/>
      <c r="O568" s="36"/>
      <c r="P568" s="45"/>
      <c r="Q568" s="45"/>
      <c r="R568" s="44"/>
      <c r="S568" s="46" t="s">
        <v>33</v>
      </c>
      <c r="T568" s="30" t="str">
        <f>IFERROR(VLOOKUP(O568, '[1]CURSOS 2025'!A:B, 2, FALSE), "")</f>
        <v/>
      </c>
      <c r="U568" s="39">
        <f t="shared" si="94"/>
        <v>0</v>
      </c>
    </row>
    <row r="569" spans="1:21" s="40" customFormat="1" ht="39.950000000000003" customHeight="1" thickBot="1" x14ac:dyDescent="0.35">
      <c r="A569" s="30">
        <f t="array" ref="A569">IF(B569&lt;&gt;"",COUNTIF($B$19:B569,"&lt;&gt;"),"")</f>
        <v>502</v>
      </c>
      <c r="B569" s="41">
        <v>336</v>
      </c>
      <c r="C569" s="42" t="s">
        <v>697</v>
      </c>
      <c r="D569" s="43">
        <v>3636</v>
      </c>
      <c r="E569" s="42" t="s">
        <v>1239</v>
      </c>
      <c r="F569" s="49" t="s">
        <v>1193</v>
      </c>
      <c r="G569" s="36" t="s">
        <v>1240</v>
      </c>
      <c r="H569" s="44"/>
      <c r="I569" s="44"/>
      <c r="J569" s="44"/>
      <c r="K569" s="44"/>
      <c r="L569" s="44"/>
      <c r="M569" s="44"/>
      <c r="N569" s="36"/>
      <c r="O569" s="36"/>
      <c r="P569" s="45"/>
      <c r="Q569" s="45"/>
      <c r="R569" s="44"/>
      <c r="S569" s="46" t="s">
        <v>33</v>
      </c>
      <c r="T569" s="30" t="str">
        <f>IFERROR(VLOOKUP(O569, '[1]CURSOS 2025'!A:B, 2, FALSE), "")</f>
        <v/>
      </c>
      <c r="U569" s="39">
        <f t="shared" si="94"/>
        <v>0</v>
      </c>
    </row>
    <row r="570" spans="1:21" s="40" customFormat="1" ht="39.950000000000003" customHeight="1" thickBot="1" x14ac:dyDescent="0.35">
      <c r="A570" s="30">
        <f t="array" ref="A570">IF(B570&lt;&gt;"",COUNTIF($B$19:B570,"&lt;&gt;"),"")</f>
        <v>503</v>
      </c>
      <c r="B570" s="41">
        <v>336</v>
      </c>
      <c r="C570" s="42" t="s">
        <v>1241</v>
      </c>
      <c r="D570" s="43">
        <v>3836</v>
      </c>
      <c r="E570" s="42" t="s">
        <v>1242</v>
      </c>
      <c r="F570" s="49" t="s">
        <v>1193</v>
      </c>
      <c r="G570" s="36" t="s">
        <v>1243</v>
      </c>
      <c r="H570" s="44"/>
      <c r="I570" s="44"/>
      <c r="J570" s="44"/>
      <c r="K570" s="44"/>
      <c r="L570" s="44"/>
      <c r="M570" s="44"/>
      <c r="N570" s="36"/>
      <c r="O570" s="36"/>
      <c r="P570" s="45"/>
      <c r="Q570" s="45"/>
      <c r="R570" s="44"/>
      <c r="S570" s="46" t="s">
        <v>33</v>
      </c>
      <c r="T570" s="30" t="str">
        <f>IFERROR(VLOOKUP(O570, '[1]CURSOS 2025'!A:B, 2, FALSE), "")</f>
        <v/>
      </c>
      <c r="U570" s="39">
        <f t="shared" si="94"/>
        <v>0</v>
      </c>
    </row>
    <row r="571" spans="1:21" s="40" customFormat="1" ht="39.950000000000003" customHeight="1" thickBot="1" x14ac:dyDescent="0.35">
      <c r="A571" s="30">
        <f t="array" ref="A571">IF(B571&lt;&gt;"",COUNTIF($B$19:B571,"&lt;&gt;"),"")</f>
        <v>504</v>
      </c>
      <c r="B571" s="41">
        <v>336</v>
      </c>
      <c r="C571" s="42" t="s">
        <v>1241</v>
      </c>
      <c r="D571" s="43">
        <v>3818</v>
      </c>
      <c r="E571" s="42" t="s">
        <v>1244</v>
      </c>
      <c r="F571" s="49" t="s">
        <v>1193</v>
      </c>
      <c r="G571" s="36" t="s">
        <v>1245</v>
      </c>
      <c r="H571" s="44"/>
      <c r="I571" s="44"/>
      <c r="J571" s="44"/>
      <c r="K571" s="44"/>
      <c r="L571" s="44"/>
      <c r="M571" s="44"/>
      <c r="N571" s="36"/>
      <c r="O571" s="36"/>
      <c r="P571" s="45"/>
      <c r="Q571" s="45"/>
      <c r="R571" s="44"/>
      <c r="S571" s="46" t="s">
        <v>33</v>
      </c>
      <c r="T571" s="30" t="str">
        <f>IFERROR(VLOOKUP(O571, '[1]CURSOS 2025'!A:B, 2, FALSE), "")</f>
        <v/>
      </c>
      <c r="U571" s="39">
        <f t="shared" si="94"/>
        <v>0</v>
      </c>
    </row>
    <row r="572" spans="1:21" s="40" customFormat="1" ht="39.950000000000003" customHeight="1" thickBot="1" x14ac:dyDescent="0.35">
      <c r="A572" s="30">
        <f t="array" ref="A572">IF(B572&lt;&gt;"",COUNTIF($B$19:B572,"&lt;&gt;"),"")</f>
        <v>505</v>
      </c>
      <c r="B572" s="41">
        <v>336</v>
      </c>
      <c r="C572" s="42" t="s">
        <v>1246</v>
      </c>
      <c r="D572" s="43">
        <v>3258</v>
      </c>
      <c r="E572" s="42" t="s">
        <v>1247</v>
      </c>
      <c r="F572" s="49" t="s">
        <v>1193</v>
      </c>
      <c r="G572" s="36" t="s">
        <v>1248</v>
      </c>
      <c r="H572" s="44"/>
      <c r="I572" s="44"/>
      <c r="J572" s="44"/>
      <c r="K572" s="44"/>
      <c r="L572" s="44"/>
      <c r="M572" s="44"/>
      <c r="N572" s="36"/>
      <c r="O572" s="36"/>
      <c r="P572" s="45"/>
      <c r="Q572" s="45"/>
      <c r="R572" s="44"/>
      <c r="S572" s="46" t="s">
        <v>33</v>
      </c>
      <c r="T572" s="30" t="str">
        <f>IFERROR(VLOOKUP(O572, '[1]CURSOS 2025'!A:B, 2, FALSE), "")</f>
        <v/>
      </c>
      <c r="U572" s="39">
        <f t="shared" si="94"/>
        <v>0</v>
      </c>
    </row>
    <row r="573" spans="1:21" s="40" customFormat="1" ht="30.75" customHeight="1" thickBot="1" x14ac:dyDescent="0.35">
      <c r="A573" s="30">
        <f t="array" ref="A573">IF(B573&lt;&gt;"",COUNTIF($B$19:B573,"&lt;&gt;"),"")</f>
        <v>506</v>
      </c>
      <c r="B573" s="41">
        <v>336</v>
      </c>
      <c r="C573" s="42" t="s">
        <v>1246</v>
      </c>
      <c r="D573" s="43">
        <v>3426</v>
      </c>
      <c r="E573" s="42" t="s">
        <v>1249</v>
      </c>
      <c r="F573" s="49" t="s">
        <v>1193</v>
      </c>
      <c r="G573" s="36" t="s">
        <v>1250</v>
      </c>
      <c r="H573" s="44"/>
      <c r="I573" s="44"/>
      <c r="J573" s="44"/>
      <c r="K573" s="44"/>
      <c r="L573" s="44"/>
      <c r="M573" s="44"/>
      <c r="N573" s="36"/>
      <c r="O573" s="36"/>
      <c r="P573" s="45"/>
      <c r="Q573" s="45"/>
      <c r="R573" s="44"/>
      <c r="S573" s="46" t="s">
        <v>33</v>
      </c>
      <c r="T573" s="30" t="str">
        <f>IFERROR(VLOOKUP(O573, '[1]CURSOS 2025'!A:B, 2, FALSE), "")</f>
        <v/>
      </c>
      <c r="U573" s="39">
        <f t="shared" si="94"/>
        <v>0</v>
      </c>
    </row>
    <row r="574" spans="1:21" s="40" customFormat="1" ht="39.950000000000003" customHeight="1" thickBot="1" x14ac:dyDescent="0.35">
      <c r="A574" s="30">
        <f t="array" ref="A574">IF(B574&lt;&gt;"",COUNTIF($B$19:B574,"&lt;&gt;"),"")</f>
        <v>507</v>
      </c>
      <c r="B574" s="41">
        <v>336</v>
      </c>
      <c r="C574" s="42" t="s">
        <v>1246</v>
      </c>
      <c r="D574" s="43">
        <v>3693</v>
      </c>
      <c r="E574" s="42" t="s">
        <v>1251</v>
      </c>
      <c r="F574" s="49" t="s">
        <v>1193</v>
      </c>
      <c r="G574" s="36" t="s">
        <v>1252</v>
      </c>
      <c r="H574" s="44"/>
      <c r="I574" s="44"/>
      <c r="J574" s="44"/>
      <c r="K574" s="44"/>
      <c r="L574" s="44"/>
      <c r="M574" s="44"/>
      <c r="N574" s="36"/>
      <c r="O574" s="36"/>
      <c r="P574" s="45"/>
      <c r="Q574" s="45"/>
      <c r="R574" s="44"/>
      <c r="S574" s="46" t="s">
        <v>33</v>
      </c>
      <c r="T574" s="30" t="str">
        <f>IFERROR(VLOOKUP(O574, '[1]CURSOS 2025'!A:B, 2, FALSE), "")</f>
        <v/>
      </c>
      <c r="U574" s="39">
        <f t="shared" si="94"/>
        <v>0</v>
      </c>
    </row>
    <row r="575" spans="1:21" s="40" customFormat="1" ht="30.75" customHeight="1" thickBot="1" x14ac:dyDescent="0.35">
      <c r="A575" s="30">
        <f t="array" ref="A575">IF(B575&lt;&gt;"",COUNTIF($B$19:B575,"&lt;&gt;"),"")</f>
        <v>508</v>
      </c>
      <c r="B575" s="41">
        <v>336</v>
      </c>
      <c r="C575" s="42" t="s">
        <v>1246</v>
      </c>
      <c r="D575" s="43">
        <v>3292</v>
      </c>
      <c r="E575" s="42" t="s">
        <v>1253</v>
      </c>
      <c r="F575" s="49" t="s">
        <v>1193</v>
      </c>
      <c r="G575" s="36" t="s">
        <v>1254</v>
      </c>
      <c r="H575" s="44"/>
      <c r="I575" s="44"/>
      <c r="J575" s="44"/>
      <c r="K575" s="44"/>
      <c r="L575" s="44"/>
      <c r="M575" s="44"/>
      <c r="N575" s="36"/>
      <c r="O575" s="36"/>
      <c r="P575" s="45"/>
      <c r="Q575" s="45"/>
      <c r="R575" s="44"/>
      <c r="S575" s="46" t="s">
        <v>33</v>
      </c>
      <c r="T575" s="30" t="str">
        <f>IFERROR(VLOOKUP(O575, '[1]CURSOS 2025'!A:B, 2, FALSE), "")</f>
        <v/>
      </c>
      <c r="U575" s="39">
        <f t="shared" si="94"/>
        <v>0</v>
      </c>
    </row>
    <row r="576" spans="1:21" s="40" customFormat="1" ht="39.950000000000003" customHeight="1" thickBot="1" x14ac:dyDescent="0.35">
      <c r="A576" s="30">
        <f t="array" ref="A576">IF(B576&lt;&gt;"",COUNTIF($B$19:B576,"&lt;&gt;"),"")</f>
        <v>509</v>
      </c>
      <c r="B576" s="41">
        <v>336</v>
      </c>
      <c r="C576" s="42" t="s">
        <v>1246</v>
      </c>
      <c r="D576" s="43">
        <v>3337</v>
      </c>
      <c r="E576" s="42" t="s">
        <v>1255</v>
      </c>
      <c r="F576" s="49" t="s">
        <v>1193</v>
      </c>
      <c r="G576" s="36" t="s">
        <v>1256</v>
      </c>
      <c r="H576" s="44"/>
      <c r="I576" s="44"/>
      <c r="J576" s="44"/>
      <c r="K576" s="44"/>
      <c r="L576" s="44"/>
      <c r="M576" s="44"/>
      <c r="N576" s="36"/>
      <c r="O576" s="36"/>
      <c r="P576" s="45"/>
      <c r="Q576" s="45"/>
      <c r="R576" s="44"/>
      <c r="S576" s="46" t="s">
        <v>33</v>
      </c>
      <c r="T576" s="30" t="str">
        <f>IFERROR(VLOOKUP(O576, '[1]CURSOS 2025'!A:B, 2, FALSE), "")</f>
        <v/>
      </c>
      <c r="U576" s="39">
        <f t="shared" si="94"/>
        <v>0</v>
      </c>
    </row>
    <row r="577" spans="1:21" s="40" customFormat="1" ht="39.950000000000003" customHeight="1" thickBot="1" x14ac:dyDescent="0.35">
      <c r="A577" s="30">
        <f t="array" ref="A577">IF(B577&lt;&gt;"",COUNTIF($B$19:B577,"&lt;&gt;"),"")</f>
        <v>510</v>
      </c>
      <c r="B577" s="41">
        <v>336</v>
      </c>
      <c r="C577" s="42" t="s">
        <v>153</v>
      </c>
      <c r="D577" s="43">
        <v>3332</v>
      </c>
      <c r="E577" s="42" t="s">
        <v>1257</v>
      </c>
      <c r="F577" s="49" t="s">
        <v>1193</v>
      </c>
      <c r="G577" s="36" t="s">
        <v>1258</v>
      </c>
      <c r="H577" s="44"/>
      <c r="I577" s="44"/>
      <c r="J577" s="44"/>
      <c r="K577" s="44"/>
      <c r="L577" s="44"/>
      <c r="M577" s="44"/>
      <c r="N577" s="36"/>
      <c r="O577" s="36"/>
      <c r="P577" s="45"/>
      <c r="Q577" s="45"/>
      <c r="R577" s="44"/>
      <c r="S577" s="46" t="s">
        <v>33</v>
      </c>
      <c r="T577" s="30" t="str">
        <f>IFERROR(VLOOKUP(O577, '[1]CURSOS 2025'!A:B, 2, FALSE), "")</f>
        <v/>
      </c>
      <c r="U577" s="39">
        <f t="shared" si="94"/>
        <v>0</v>
      </c>
    </row>
    <row r="578" spans="1:21" s="40" customFormat="1" ht="39.950000000000003" customHeight="1" thickBot="1" x14ac:dyDescent="0.35">
      <c r="A578" s="30">
        <f t="array" ref="A578">IF(B578&lt;&gt;"",COUNTIF($B$19:B578,"&lt;&gt;"),"")</f>
        <v>511</v>
      </c>
      <c r="B578" s="41">
        <v>336</v>
      </c>
      <c r="C578" s="42" t="s">
        <v>153</v>
      </c>
      <c r="D578" s="43">
        <v>3703</v>
      </c>
      <c r="E578" s="42" t="s">
        <v>1259</v>
      </c>
      <c r="F578" s="49" t="s">
        <v>1193</v>
      </c>
      <c r="G578" s="36" t="s">
        <v>1260</v>
      </c>
      <c r="H578" s="44"/>
      <c r="I578" s="44"/>
      <c r="J578" s="44"/>
      <c r="K578" s="44"/>
      <c r="L578" s="44"/>
      <c r="M578" s="44"/>
      <c r="N578" s="36"/>
      <c r="O578" s="36"/>
      <c r="P578" s="45"/>
      <c r="Q578" s="45"/>
      <c r="R578" s="44"/>
      <c r="S578" s="46" t="s">
        <v>33</v>
      </c>
      <c r="T578" s="30" t="str">
        <f>IFERROR(VLOOKUP(O578, '[1]CURSOS 2025'!A:B, 2, FALSE), "")</f>
        <v/>
      </c>
      <c r="U578" s="39">
        <f t="shared" si="94"/>
        <v>0</v>
      </c>
    </row>
    <row r="579" spans="1:21" s="40" customFormat="1" ht="39.950000000000003" customHeight="1" thickBot="1" x14ac:dyDescent="0.35">
      <c r="A579" s="30">
        <f t="array" ref="A579">IF(B579&lt;&gt;"",COUNTIF($B$19:B579,"&lt;&gt;"),"")</f>
        <v>512</v>
      </c>
      <c r="B579" s="41">
        <v>336</v>
      </c>
      <c r="C579" s="42" t="s">
        <v>153</v>
      </c>
      <c r="D579" s="43">
        <v>3308</v>
      </c>
      <c r="E579" s="42" t="s">
        <v>1261</v>
      </c>
      <c r="F579" s="49" t="s">
        <v>1193</v>
      </c>
      <c r="G579" s="36" t="s">
        <v>1262</v>
      </c>
      <c r="H579" s="44"/>
      <c r="I579" s="44"/>
      <c r="J579" s="44"/>
      <c r="K579" s="44"/>
      <c r="L579" s="44"/>
      <c r="M579" s="44"/>
      <c r="N579" s="36"/>
      <c r="O579" s="36"/>
      <c r="P579" s="45"/>
      <c r="Q579" s="45"/>
      <c r="R579" s="44"/>
      <c r="S579" s="46" t="s">
        <v>33</v>
      </c>
      <c r="T579" s="30" t="str">
        <f>IFERROR(VLOOKUP(O579, '[1]CURSOS 2025'!A:B, 2, FALSE), "")</f>
        <v/>
      </c>
      <c r="U579" s="39">
        <f t="shared" si="94"/>
        <v>0</v>
      </c>
    </row>
    <row r="580" spans="1:21" s="40" customFormat="1" ht="39.950000000000003" customHeight="1" thickBot="1" x14ac:dyDescent="0.35">
      <c r="A580" s="30">
        <f t="array" ref="A580">IF(B580&lt;&gt;"",COUNTIF($B$19:B580,"&lt;&gt;"),"")</f>
        <v>513</v>
      </c>
      <c r="B580" s="41">
        <v>336</v>
      </c>
      <c r="C580" s="42" t="s">
        <v>153</v>
      </c>
      <c r="D580" s="43">
        <v>3742</v>
      </c>
      <c r="E580" s="42" t="s">
        <v>1263</v>
      </c>
      <c r="F580" s="49" t="s">
        <v>1193</v>
      </c>
      <c r="G580" s="36" t="s">
        <v>1264</v>
      </c>
      <c r="H580" s="44"/>
      <c r="I580" s="44"/>
      <c r="J580" s="44"/>
      <c r="K580" s="44"/>
      <c r="L580" s="44"/>
      <c r="M580" s="44"/>
      <c r="N580" s="36"/>
      <c r="O580" s="36"/>
      <c r="P580" s="45"/>
      <c r="Q580" s="45"/>
      <c r="R580" s="44"/>
      <c r="S580" s="46" t="s">
        <v>33</v>
      </c>
      <c r="T580" s="30" t="str">
        <f>IFERROR(VLOOKUP(O580, '[1]CURSOS 2025'!A:B, 2, FALSE), "")</f>
        <v/>
      </c>
      <c r="U580" s="39">
        <f t="shared" si="94"/>
        <v>0</v>
      </c>
    </row>
    <row r="581" spans="1:21" s="40" customFormat="1" ht="39.950000000000003" customHeight="1" thickBot="1" x14ac:dyDescent="0.35">
      <c r="A581" s="30">
        <f t="array" ref="A581">IF(B581&lt;&gt;"",COUNTIF($B$19:B581,"&lt;&gt;"),"")</f>
        <v>514</v>
      </c>
      <c r="B581" s="41">
        <v>336</v>
      </c>
      <c r="C581" s="42" t="s">
        <v>153</v>
      </c>
      <c r="D581" s="43">
        <v>3299</v>
      </c>
      <c r="E581" s="42" t="s">
        <v>1265</v>
      </c>
      <c r="F581" s="49" t="s">
        <v>1193</v>
      </c>
      <c r="G581" s="36" t="s">
        <v>1266</v>
      </c>
      <c r="H581" s="44"/>
      <c r="I581" s="44"/>
      <c r="J581" s="44"/>
      <c r="K581" s="44"/>
      <c r="L581" s="44"/>
      <c r="M581" s="44"/>
      <c r="N581" s="36"/>
      <c r="O581" s="36"/>
      <c r="P581" s="45"/>
      <c r="Q581" s="45"/>
      <c r="R581" s="44"/>
      <c r="S581" s="46" t="s">
        <v>33</v>
      </c>
      <c r="T581" s="30" t="str">
        <f>IFERROR(VLOOKUP(O581, '[1]CURSOS 2025'!A:B, 2, FALSE), "")</f>
        <v/>
      </c>
      <c r="U581" s="39">
        <f t="shared" si="94"/>
        <v>0</v>
      </c>
    </row>
    <row r="582" spans="1:21" s="40" customFormat="1" ht="39.950000000000003" customHeight="1" thickBot="1" x14ac:dyDescent="0.35">
      <c r="A582" s="30">
        <f t="array" ref="A582">IF(B582&lt;&gt;"",COUNTIF($B$19:B582,"&lt;&gt;"),"")</f>
        <v>515</v>
      </c>
      <c r="B582" s="41">
        <v>336</v>
      </c>
      <c r="C582" s="42" t="s">
        <v>153</v>
      </c>
      <c r="D582" s="43">
        <v>3743</v>
      </c>
      <c r="E582" s="42" t="s">
        <v>1267</v>
      </c>
      <c r="F582" s="49" t="s">
        <v>1193</v>
      </c>
      <c r="G582" s="36" t="s">
        <v>1268</v>
      </c>
      <c r="H582" s="44"/>
      <c r="I582" s="44"/>
      <c r="J582" s="44"/>
      <c r="K582" s="44"/>
      <c r="L582" s="44"/>
      <c r="M582" s="44"/>
      <c r="N582" s="36"/>
      <c r="O582" s="36"/>
      <c r="P582" s="45"/>
      <c r="Q582" s="45"/>
      <c r="R582" s="44"/>
      <c r="S582" s="46" t="s">
        <v>33</v>
      </c>
      <c r="T582" s="30" t="str">
        <f>IFERROR(VLOOKUP(O582, '[1]CURSOS 2025'!A:B, 2, FALSE), "")</f>
        <v/>
      </c>
      <c r="U582" s="39">
        <f t="shared" si="94"/>
        <v>0</v>
      </c>
    </row>
    <row r="583" spans="1:21" s="40" customFormat="1" ht="39.950000000000003" customHeight="1" thickBot="1" x14ac:dyDescent="0.35">
      <c r="A583" s="30">
        <f t="array" ref="A583">IF(B583&lt;&gt;"",COUNTIF($B$19:B583,"&lt;&gt;"),"")</f>
        <v>516</v>
      </c>
      <c r="B583" s="41">
        <v>336</v>
      </c>
      <c r="C583" s="42" t="s">
        <v>153</v>
      </c>
      <c r="D583" s="43">
        <v>3267</v>
      </c>
      <c r="E583" s="42" t="s">
        <v>1269</v>
      </c>
      <c r="F583" s="49" t="s">
        <v>1193</v>
      </c>
      <c r="G583" s="36" t="s">
        <v>1270</v>
      </c>
      <c r="H583" s="44"/>
      <c r="I583" s="44"/>
      <c r="J583" s="44"/>
      <c r="K583" s="44"/>
      <c r="L583" s="44"/>
      <c r="M583" s="44"/>
      <c r="N583" s="36"/>
      <c r="O583" s="36"/>
      <c r="P583" s="45"/>
      <c r="Q583" s="45"/>
      <c r="R583" s="44"/>
      <c r="S583" s="46" t="s">
        <v>33</v>
      </c>
      <c r="T583" s="30" t="str">
        <f>IFERROR(VLOOKUP(O583, '[1]CURSOS 2025'!A:B, 2, FALSE), "")</f>
        <v/>
      </c>
      <c r="U583" s="39">
        <f t="shared" si="94"/>
        <v>0</v>
      </c>
    </row>
    <row r="584" spans="1:21" s="40" customFormat="1" ht="30.75" customHeight="1" thickBot="1" x14ac:dyDescent="0.35">
      <c r="A584" s="30">
        <f t="array" ref="A584">IF(B584&lt;&gt;"",COUNTIF($B$19:B584,"&lt;&gt;"),"")</f>
        <v>517</v>
      </c>
      <c r="B584" s="41">
        <v>336</v>
      </c>
      <c r="C584" s="42" t="s">
        <v>153</v>
      </c>
      <c r="D584" s="43">
        <v>3694</v>
      </c>
      <c r="E584" s="42" t="s">
        <v>1271</v>
      </c>
      <c r="F584" s="49" t="s">
        <v>1193</v>
      </c>
      <c r="G584" s="36" t="s">
        <v>1272</v>
      </c>
      <c r="H584" s="44"/>
      <c r="I584" s="44"/>
      <c r="J584" s="44"/>
      <c r="K584" s="44"/>
      <c r="L584" s="44"/>
      <c r="M584" s="44"/>
      <c r="N584" s="36"/>
      <c r="O584" s="36"/>
      <c r="P584" s="45"/>
      <c r="Q584" s="45"/>
      <c r="R584" s="44"/>
      <c r="S584" s="46" t="s">
        <v>33</v>
      </c>
      <c r="T584" s="30" t="str">
        <f>IFERROR(VLOOKUP(O584, '[1]CURSOS 2025'!A:B, 2, FALSE), "")</f>
        <v/>
      </c>
      <c r="U584" s="39">
        <f t="shared" si="94"/>
        <v>0</v>
      </c>
    </row>
    <row r="585" spans="1:21" s="40" customFormat="1" ht="30.75" customHeight="1" thickBot="1" x14ac:dyDescent="0.35">
      <c r="A585" s="30">
        <f t="array" ref="A585">IF(B585&lt;&gt;"",COUNTIF($B$19:B585,"&lt;&gt;"),"")</f>
        <v>518</v>
      </c>
      <c r="B585" s="41">
        <v>336</v>
      </c>
      <c r="C585" s="42" t="s">
        <v>153</v>
      </c>
      <c r="D585" s="43">
        <v>3410</v>
      </c>
      <c r="E585" s="42" t="s">
        <v>1273</v>
      </c>
      <c r="F585" s="49" t="s">
        <v>1193</v>
      </c>
      <c r="G585" s="36" t="s">
        <v>1274</v>
      </c>
      <c r="H585" s="44"/>
      <c r="I585" s="44"/>
      <c r="J585" s="44"/>
      <c r="K585" s="44"/>
      <c r="L585" s="44"/>
      <c r="M585" s="44"/>
      <c r="N585" s="36"/>
      <c r="O585" s="36"/>
      <c r="P585" s="45"/>
      <c r="Q585" s="45"/>
      <c r="R585" s="44"/>
      <c r="S585" s="46" t="s">
        <v>33</v>
      </c>
      <c r="T585" s="30" t="str">
        <f>IFERROR(VLOOKUP(O585, '[1]CURSOS 2025'!A:B, 2, FALSE), "")</f>
        <v/>
      </c>
      <c r="U585" s="39">
        <f t="shared" si="94"/>
        <v>0</v>
      </c>
    </row>
    <row r="586" spans="1:21" s="40" customFormat="1" ht="39.950000000000003" customHeight="1" thickBot="1" x14ac:dyDescent="0.35">
      <c r="A586" s="30">
        <f t="array" ref="A586">IF(B586&lt;&gt;"",COUNTIF($B$19:B586,"&lt;&gt;"),"")</f>
        <v>519</v>
      </c>
      <c r="B586" s="41">
        <v>336</v>
      </c>
      <c r="C586" s="42" t="s">
        <v>153</v>
      </c>
      <c r="D586" s="43">
        <v>3796</v>
      </c>
      <c r="E586" s="42" t="s">
        <v>1275</v>
      </c>
      <c r="F586" s="49" t="s">
        <v>1193</v>
      </c>
      <c r="G586" s="36" t="s">
        <v>1276</v>
      </c>
      <c r="H586" s="44"/>
      <c r="I586" s="44"/>
      <c r="J586" s="44"/>
      <c r="K586" s="44" t="s">
        <v>231</v>
      </c>
      <c r="L586" s="44" t="s">
        <v>231</v>
      </c>
      <c r="M586" s="44" t="s">
        <v>231</v>
      </c>
      <c r="N586" s="36" t="s">
        <v>1537</v>
      </c>
      <c r="O586" s="36" t="s">
        <v>1714</v>
      </c>
      <c r="P586" s="45">
        <v>46070</v>
      </c>
      <c r="Q586" s="45">
        <v>46070</v>
      </c>
      <c r="R586" s="44">
        <v>2</v>
      </c>
      <c r="S586" s="46" t="s">
        <v>33</v>
      </c>
      <c r="T586" s="30" t="s">
        <v>234</v>
      </c>
      <c r="U586" s="39">
        <f t="shared" si="94"/>
        <v>2</v>
      </c>
    </row>
    <row r="587" spans="1:21" s="40" customFormat="1" ht="30.75" customHeight="1" thickBot="1" x14ac:dyDescent="0.35">
      <c r="A587" s="30">
        <f t="array" ref="A587">IF(B587&lt;&gt;"",COUNTIF($B$19:B587,"&lt;&gt;"),"")</f>
        <v>520</v>
      </c>
      <c r="B587" s="41">
        <v>336</v>
      </c>
      <c r="C587" s="42" t="s">
        <v>153</v>
      </c>
      <c r="D587" s="43">
        <v>3571</v>
      </c>
      <c r="E587" s="42" t="s">
        <v>1277</v>
      </c>
      <c r="F587" s="49" t="s">
        <v>1193</v>
      </c>
      <c r="G587" s="36" t="s">
        <v>1278</v>
      </c>
      <c r="H587" s="44"/>
      <c r="I587" s="44"/>
      <c r="J587" s="44"/>
      <c r="K587" s="44"/>
      <c r="L587" s="44"/>
      <c r="M587" s="44"/>
      <c r="N587" s="36"/>
      <c r="O587" s="36"/>
      <c r="P587" s="45"/>
      <c r="Q587" s="45"/>
      <c r="R587" s="44"/>
      <c r="S587" s="46" t="s">
        <v>33</v>
      </c>
      <c r="T587" s="30" t="str">
        <f>IFERROR(VLOOKUP(O587, '[1]CURSOS 2025'!A:B, 2, FALSE), "")</f>
        <v/>
      </c>
      <c r="U587" s="39">
        <f t="shared" si="94"/>
        <v>0</v>
      </c>
    </row>
    <row r="588" spans="1:21" s="40" customFormat="1" ht="30.75" customHeight="1" thickBot="1" x14ac:dyDescent="0.35">
      <c r="A588" s="30">
        <f t="array" ref="A588">IF(B588&lt;&gt;"",COUNTIF($B$19:B588,"&lt;&gt;"),"")</f>
        <v>521</v>
      </c>
      <c r="B588" s="41">
        <v>336</v>
      </c>
      <c r="C588" s="42" t="s">
        <v>153</v>
      </c>
      <c r="D588" s="43">
        <v>1910</v>
      </c>
      <c r="E588" s="42" t="s">
        <v>1279</v>
      </c>
      <c r="F588" s="49" t="s">
        <v>1193</v>
      </c>
      <c r="G588" s="36" t="s">
        <v>1280</v>
      </c>
      <c r="H588" s="44"/>
      <c r="I588" s="44"/>
      <c r="J588" s="44"/>
      <c r="K588" s="44" t="s">
        <v>231</v>
      </c>
      <c r="L588" s="44" t="s">
        <v>231</v>
      </c>
      <c r="M588" s="44" t="s">
        <v>231</v>
      </c>
      <c r="N588" s="36" t="s">
        <v>1537</v>
      </c>
      <c r="O588" s="36" t="s">
        <v>1714</v>
      </c>
      <c r="P588" s="45">
        <v>46070</v>
      </c>
      <c r="Q588" s="45">
        <v>46070</v>
      </c>
      <c r="R588" s="44">
        <v>2</v>
      </c>
      <c r="S588" s="46" t="s">
        <v>33</v>
      </c>
      <c r="T588" s="30" t="s">
        <v>234</v>
      </c>
      <c r="U588" s="39">
        <f t="shared" si="94"/>
        <v>2</v>
      </c>
    </row>
    <row r="589" spans="1:21" s="40" customFormat="1" ht="39.950000000000003" customHeight="1" thickBot="1" x14ac:dyDescent="0.35">
      <c r="A589" s="30">
        <f t="array" ref="A589">IF(B589&lt;&gt;"",COUNTIF($B$19:B589,"&lt;&gt;"),"")</f>
        <v>522</v>
      </c>
      <c r="B589" s="41">
        <v>336</v>
      </c>
      <c r="C589" s="42" t="s">
        <v>153</v>
      </c>
      <c r="D589" s="43">
        <v>1664</v>
      </c>
      <c r="E589" s="42" t="s">
        <v>1281</v>
      </c>
      <c r="F589" s="49" t="s">
        <v>1193</v>
      </c>
      <c r="G589" s="36" t="s">
        <v>1282</v>
      </c>
      <c r="H589" s="44"/>
      <c r="I589" s="44"/>
      <c r="J589" s="44"/>
      <c r="K589" s="44"/>
      <c r="L589" s="44"/>
      <c r="M589" s="44"/>
      <c r="N589" s="36"/>
      <c r="O589" s="36"/>
      <c r="P589" s="45"/>
      <c r="Q589" s="45"/>
      <c r="R589" s="44"/>
      <c r="S589" s="46" t="s">
        <v>33</v>
      </c>
      <c r="T589" s="30" t="str">
        <f>IFERROR(VLOOKUP(O589, '[1]CURSOS 2025'!A:B, 2, FALSE), "")</f>
        <v/>
      </c>
      <c r="U589" s="39">
        <f t="shared" si="94"/>
        <v>0</v>
      </c>
    </row>
    <row r="590" spans="1:21" s="40" customFormat="1" ht="39.950000000000003" customHeight="1" thickBot="1" x14ac:dyDescent="0.35">
      <c r="A590" s="30">
        <f t="array" ref="A590">IF(B590&lt;&gt;"",COUNTIF($B$19:B590,"&lt;&gt;"),"")</f>
        <v>523</v>
      </c>
      <c r="B590" s="41">
        <v>336</v>
      </c>
      <c r="C590" s="42" t="s">
        <v>153</v>
      </c>
      <c r="D590" s="43">
        <v>3541</v>
      </c>
      <c r="E590" s="42" t="s">
        <v>1283</v>
      </c>
      <c r="F590" s="49" t="s">
        <v>1193</v>
      </c>
      <c r="G590" s="36" t="s">
        <v>1284</v>
      </c>
      <c r="H590" s="44"/>
      <c r="I590" s="44"/>
      <c r="J590" s="44"/>
      <c r="K590" s="44"/>
      <c r="L590" s="44"/>
      <c r="M590" s="44"/>
      <c r="N590" s="36"/>
      <c r="O590" s="36"/>
      <c r="P590" s="45"/>
      <c r="Q590" s="45"/>
      <c r="R590" s="44"/>
      <c r="S590" s="46" t="s">
        <v>33</v>
      </c>
      <c r="T590" s="30" t="str">
        <f>IFERROR(VLOOKUP(O590, '[1]CURSOS 2025'!A:B, 2, FALSE), "")</f>
        <v/>
      </c>
      <c r="U590" s="39">
        <f t="shared" si="94"/>
        <v>0</v>
      </c>
    </row>
    <row r="591" spans="1:21" s="40" customFormat="1" ht="39.950000000000003" customHeight="1" thickBot="1" x14ac:dyDescent="0.35">
      <c r="A591" s="30">
        <f t="array" ref="A591">IF(B591&lt;&gt;"",COUNTIF($B$19:B591,"&lt;&gt;"),"")</f>
        <v>524</v>
      </c>
      <c r="B591" s="41">
        <v>336</v>
      </c>
      <c r="C591" s="42" t="s">
        <v>153</v>
      </c>
      <c r="D591" s="43">
        <v>1337</v>
      </c>
      <c r="E591" s="42" t="s">
        <v>1285</v>
      </c>
      <c r="F591" s="49" t="s">
        <v>1193</v>
      </c>
      <c r="G591" s="36" t="s">
        <v>1286</v>
      </c>
      <c r="H591" s="44"/>
      <c r="I591" s="44"/>
      <c r="J591" s="44"/>
      <c r="K591" s="44"/>
      <c r="L591" s="44"/>
      <c r="M591" s="44"/>
      <c r="N591" s="36"/>
      <c r="O591" s="36"/>
      <c r="P591" s="45"/>
      <c r="Q591" s="45"/>
      <c r="R591" s="44"/>
      <c r="S591" s="46" t="s">
        <v>33</v>
      </c>
      <c r="T591" s="30" t="str">
        <f>IFERROR(VLOOKUP(O591, '[1]CURSOS 2025'!A:B, 2, FALSE), "")</f>
        <v/>
      </c>
      <c r="U591" s="39">
        <f t="shared" si="94"/>
        <v>0</v>
      </c>
    </row>
    <row r="592" spans="1:21" s="40" customFormat="1" ht="39.950000000000003" customHeight="1" thickBot="1" x14ac:dyDescent="0.35">
      <c r="A592" s="30">
        <f t="array" ref="A592">IF(B592&lt;&gt;"",COUNTIF($B$19:B592,"&lt;&gt;"),"")</f>
        <v>525</v>
      </c>
      <c r="B592" s="41">
        <v>336</v>
      </c>
      <c r="C592" s="42" t="s">
        <v>153</v>
      </c>
      <c r="D592" s="43">
        <v>3486</v>
      </c>
      <c r="E592" s="42" t="s">
        <v>1287</v>
      </c>
      <c r="F592" s="49" t="s">
        <v>1193</v>
      </c>
      <c r="G592" s="36" t="s">
        <v>1288</v>
      </c>
      <c r="H592" s="44"/>
      <c r="I592" s="44"/>
      <c r="J592" s="44"/>
      <c r="K592" s="44"/>
      <c r="L592" s="44"/>
      <c r="M592" s="44"/>
      <c r="N592" s="36"/>
      <c r="O592" s="36"/>
      <c r="P592" s="45"/>
      <c r="Q592" s="45"/>
      <c r="R592" s="44"/>
      <c r="S592" s="46" t="s">
        <v>33</v>
      </c>
      <c r="T592" s="30" t="str">
        <f>IFERROR(VLOOKUP(O592, '[1]CURSOS 2025'!A:B, 2, FALSE), "")</f>
        <v/>
      </c>
      <c r="U592" s="39">
        <f t="shared" si="94"/>
        <v>0</v>
      </c>
    </row>
    <row r="593" spans="1:21" s="40" customFormat="1" ht="39.950000000000003" customHeight="1" thickBot="1" x14ac:dyDescent="0.35">
      <c r="A593" s="30">
        <f t="array" ref="A593">IF(B593&lt;&gt;"",COUNTIF($B$19:B593,"&lt;&gt;"),"")</f>
        <v>526</v>
      </c>
      <c r="B593" s="41">
        <v>336</v>
      </c>
      <c r="C593" s="42" t="s">
        <v>1289</v>
      </c>
      <c r="D593" s="43">
        <v>3617</v>
      </c>
      <c r="E593" s="42" t="s">
        <v>1290</v>
      </c>
      <c r="F593" s="49" t="s">
        <v>1193</v>
      </c>
      <c r="G593" s="36" t="s">
        <v>1291</v>
      </c>
      <c r="H593" s="44"/>
      <c r="I593" s="44"/>
      <c r="J593" s="44"/>
      <c r="K593" s="44"/>
      <c r="L593" s="44"/>
      <c r="M593" s="44"/>
      <c r="N593" s="36"/>
      <c r="O593" s="36"/>
      <c r="P593" s="45"/>
      <c r="Q593" s="45"/>
      <c r="R593" s="44"/>
      <c r="S593" s="46" t="s">
        <v>33</v>
      </c>
      <c r="T593" s="30" t="str">
        <f>IFERROR(VLOOKUP(O593, '[1]CURSOS 2025'!A:B, 2, FALSE), "")</f>
        <v/>
      </c>
      <c r="U593" s="39">
        <f t="shared" si="94"/>
        <v>0</v>
      </c>
    </row>
    <row r="594" spans="1:21" s="40" customFormat="1" ht="39.950000000000003" customHeight="1" thickBot="1" x14ac:dyDescent="0.35">
      <c r="A594" s="30">
        <f t="array" ref="A594">IF(B594&lt;&gt;"",COUNTIF($B$19:B594,"&lt;&gt;"),"")</f>
        <v>527</v>
      </c>
      <c r="B594" s="41">
        <v>336</v>
      </c>
      <c r="C594" s="42" t="s">
        <v>1292</v>
      </c>
      <c r="D594" s="43">
        <v>3809</v>
      </c>
      <c r="E594" s="42" t="s">
        <v>1293</v>
      </c>
      <c r="F594" s="49" t="s">
        <v>1193</v>
      </c>
      <c r="G594" s="36" t="s">
        <v>1294</v>
      </c>
      <c r="H594" s="44"/>
      <c r="I594" s="44"/>
      <c r="J594" s="44"/>
      <c r="K594" s="44" t="s">
        <v>231</v>
      </c>
      <c r="L594" s="44" t="s">
        <v>231</v>
      </c>
      <c r="M594" s="44" t="s">
        <v>231</v>
      </c>
      <c r="N594" s="36" t="s">
        <v>1537</v>
      </c>
      <c r="O594" s="36" t="s">
        <v>1714</v>
      </c>
      <c r="P594" s="45">
        <v>46070</v>
      </c>
      <c r="Q594" s="45">
        <v>46070</v>
      </c>
      <c r="R594" s="44">
        <v>2</v>
      </c>
      <c r="S594" s="46" t="s">
        <v>33</v>
      </c>
      <c r="T594" s="30" t="s">
        <v>234</v>
      </c>
      <c r="U594" s="39">
        <f t="shared" si="94"/>
        <v>2</v>
      </c>
    </row>
    <row r="595" spans="1:21" s="40" customFormat="1" ht="39.950000000000003" customHeight="1" thickBot="1" x14ac:dyDescent="0.35">
      <c r="A595" s="30">
        <f t="array" ref="A595">IF(B595&lt;&gt;"",COUNTIF($B$19:B595,"&lt;&gt;"),"")</f>
        <v>528</v>
      </c>
      <c r="B595" s="41">
        <v>336</v>
      </c>
      <c r="C595" s="42" t="s">
        <v>1292</v>
      </c>
      <c r="D595" s="43">
        <v>3408</v>
      </c>
      <c r="E595" s="42" t="s">
        <v>1295</v>
      </c>
      <c r="F595" s="49" t="s">
        <v>1193</v>
      </c>
      <c r="G595" s="36" t="s">
        <v>1296</v>
      </c>
      <c r="H595" s="44"/>
      <c r="I595" s="44"/>
      <c r="J595" s="44"/>
      <c r="K595" s="44"/>
      <c r="L595" s="44"/>
      <c r="M595" s="44"/>
      <c r="N595" s="36"/>
      <c r="O595" s="36"/>
      <c r="P595" s="45"/>
      <c r="Q595" s="45"/>
      <c r="R595" s="44"/>
      <c r="S595" s="46" t="s">
        <v>33</v>
      </c>
      <c r="T595" s="30" t="str">
        <f>IFERROR(VLOOKUP(O595, '[1]CURSOS 2025'!A:B, 2, FALSE), "")</f>
        <v/>
      </c>
      <c r="U595" s="39">
        <f t="shared" si="94"/>
        <v>0</v>
      </c>
    </row>
    <row r="596" spans="1:21" s="40" customFormat="1" ht="39.950000000000003" customHeight="1" thickBot="1" x14ac:dyDescent="0.35">
      <c r="A596" s="30">
        <f t="array" ref="A596">IF(B596&lt;&gt;"",COUNTIF($B$19:B596,"&lt;&gt;"),"")</f>
        <v>529</v>
      </c>
      <c r="B596" s="41">
        <v>336</v>
      </c>
      <c r="C596" s="42" t="s">
        <v>1219</v>
      </c>
      <c r="D596" s="43">
        <v>3799</v>
      </c>
      <c r="E596" s="42" t="s">
        <v>1297</v>
      </c>
      <c r="F596" s="49" t="s">
        <v>1193</v>
      </c>
      <c r="G596" s="36" t="s">
        <v>1298</v>
      </c>
      <c r="H596" s="44"/>
      <c r="I596" s="44"/>
      <c r="J596" s="44"/>
      <c r="K596" s="44" t="s">
        <v>231</v>
      </c>
      <c r="L596" s="44" t="s">
        <v>231</v>
      </c>
      <c r="M596" s="44" t="s">
        <v>231</v>
      </c>
      <c r="N596" s="36" t="s">
        <v>1537</v>
      </c>
      <c r="O596" s="36" t="s">
        <v>1714</v>
      </c>
      <c r="P596" s="45">
        <v>46070</v>
      </c>
      <c r="Q596" s="45">
        <v>46070</v>
      </c>
      <c r="R596" s="44">
        <v>2</v>
      </c>
      <c r="S596" s="46" t="s">
        <v>33</v>
      </c>
      <c r="T596" s="30" t="s">
        <v>234</v>
      </c>
      <c r="U596" s="39">
        <f t="shared" si="94"/>
        <v>2</v>
      </c>
    </row>
    <row r="597" spans="1:21" s="40" customFormat="1" ht="39.950000000000003" customHeight="1" thickBot="1" x14ac:dyDescent="0.35">
      <c r="A597" s="30">
        <f t="array" ref="A597">IF(B597&lt;&gt;"",COUNTIF($B$19:B597,"&lt;&gt;"),"")</f>
        <v>530</v>
      </c>
      <c r="B597" s="41">
        <v>336</v>
      </c>
      <c r="C597" s="42" t="s">
        <v>1219</v>
      </c>
      <c r="D597" s="43">
        <v>3716</v>
      </c>
      <c r="E597" s="42" t="s">
        <v>1299</v>
      </c>
      <c r="F597" s="49" t="s">
        <v>1193</v>
      </c>
      <c r="G597" s="36" t="s">
        <v>1300</v>
      </c>
      <c r="H597" s="44"/>
      <c r="I597" s="44"/>
      <c r="J597" s="44"/>
      <c r="K597" s="44"/>
      <c r="L597" s="44"/>
      <c r="M597" s="44"/>
      <c r="N597" s="36"/>
      <c r="O597" s="36"/>
      <c r="P597" s="45"/>
      <c r="Q597" s="45"/>
      <c r="R597" s="44"/>
      <c r="S597" s="46" t="s">
        <v>33</v>
      </c>
      <c r="T597" s="30" t="str">
        <f>IFERROR(VLOOKUP(O597, '[1]CURSOS 2025'!A:B, 2, FALSE), "")</f>
        <v/>
      </c>
      <c r="U597" s="39">
        <f t="shared" si="94"/>
        <v>0</v>
      </c>
    </row>
    <row r="598" spans="1:21" s="40" customFormat="1" ht="39.950000000000003" customHeight="1" thickBot="1" x14ac:dyDescent="0.35">
      <c r="A598" s="30">
        <f t="array" ref="A598">IF(B598&lt;&gt;"",COUNTIF($B$19:B598,"&lt;&gt;"),"")</f>
        <v>531</v>
      </c>
      <c r="B598" s="41">
        <v>336</v>
      </c>
      <c r="C598" s="42" t="s">
        <v>1219</v>
      </c>
      <c r="D598" s="43">
        <v>3667</v>
      </c>
      <c r="E598" s="42" t="s">
        <v>1301</v>
      </c>
      <c r="F598" s="49" t="s">
        <v>1193</v>
      </c>
      <c r="G598" s="36" t="s">
        <v>1302</v>
      </c>
      <c r="H598" s="44"/>
      <c r="I598" s="44"/>
      <c r="J598" s="44"/>
      <c r="K598" s="44"/>
      <c r="L598" s="44"/>
      <c r="M598" s="44"/>
      <c r="N598" s="36"/>
      <c r="O598" s="36"/>
      <c r="P598" s="45"/>
      <c r="Q598" s="45"/>
      <c r="R598" s="44"/>
      <c r="S598" s="46" t="s">
        <v>33</v>
      </c>
      <c r="T598" s="30" t="str">
        <f>IFERROR(VLOOKUP(O598, '[1]CURSOS 2025'!A:B, 2, FALSE), "")</f>
        <v/>
      </c>
      <c r="U598" s="39">
        <f t="shared" si="94"/>
        <v>0</v>
      </c>
    </row>
    <row r="599" spans="1:21" s="40" customFormat="1" ht="30.75" customHeight="1" thickBot="1" x14ac:dyDescent="0.35">
      <c r="A599" s="30">
        <f t="array" ref="A599">IF(B599&lt;&gt;"",COUNTIF($B$19:B599,"&lt;&gt;"),"")</f>
        <v>532</v>
      </c>
      <c r="B599" s="41">
        <v>336</v>
      </c>
      <c r="C599" s="42" t="s">
        <v>1303</v>
      </c>
      <c r="D599" s="43">
        <v>3699</v>
      </c>
      <c r="E599" s="42" t="s">
        <v>1304</v>
      </c>
      <c r="F599" s="49" t="s">
        <v>1193</v>
      </c>
      <c r="G599" s="36" t="s">
        <v>1305</v>
      </c>
      <c r="H599" s="44"/>
      <c r="I599" s="44"/>
      <c r="J599" s="44"/>
      <c r="K599" s="44"/>
      <c r="L599" s="44"/>
      <c r="M599" s="44"/>
      <c r="N599" s="36"/>
      <c r="O599" s="36"/>
      <c r="P599" s="45"/>
      <c r="Q599" s="45"/>
      <c r="R599" s="44"/>
      <c r="S599" s="46" t="s">
        <v>33</v>
      </c>
      <c r="T599" s="30" t="str">
        <f>IFERROR(VLOOKUP(O599, '[1]CURSOS 2025'!A:B, 2, FALSE), "")</f>
        <v/>
      </c>
      <c r="U599" s="39">
        <f t="shared" si="94"/>
        <v>0</v>
      </c>
    </row>
    <row r="600" spans="1:21" s="40" customFormat="1" ht="39.950000000000003" customHeight="1" thickBot="1" x14ac:dyDescent="0.35">
      <c r="A600" s="30">
        <f t="array" ref="A600">IF(B600&lt;&gt;"",COUNTIF($B$19:B600,"&lt;&gt;"),"")</f>
        <v>533</v>
      </c>
      <c r="B600" s="41">
        <v>336</v>
      </c>
      <c r="C600" s="42" t="s">
        <v>1303</v>
      </c>
      <c r="D600" s="43">
        <v>3238</v>
      </c>
      <c r="E600" s="42" t="s">
        <v>1306</v>
      </c>
      <c r="F600" s="49" t="s">
        <v>1193</v>
      </c>
      <c r="G600" s="36" t="s">
        <v>1307</v>
      </c>
      <c r="H600" s="44"/>
      <c r="I600" s="44"/>
      <c r="J600" s="44"/>
      <c r="K600" s="44"/>
      <c r="L600" s="44"/>
      <c r="M600" s="44"/>
      <c r="N600" s="36"/>
      <c r="O600" s="36"/>
      <c r="P600" s="45"/>
      <c r="Q600" s="45"/>
      <c r="R600" s="44"/>
      <c r="S600" s="46" t="s">
        <v>33</v>
      </c>
      <c r="T600" s="30" t="str">
        <f>IFERROR(VLOOKUP(O600, '[1]CURSOS 2025'!A:B, 2, FALSE), "")</f>
        <v/>
      </c>
      <c r="U600" s="39">
        <f t="shared" si="94"/>
        <v>0</v>
      </c>
    </row>
    <row r="601" spans="1:21" s="40" customFormat="1" ht="39.950000000000003" customHeight="1" thickBot="1" x14ac:dyDescent="0.35">
      <c r="A601" s="30">
        <f t="array" ref="A601">IF(B601&lt;&gt;"",COUNTIF($B$19:B601,"&lt;&gt;"),"")</f>
        <v>534</v>
      </c>
      <c r="B601" s="41">
        <v>336</v>
      </c>
      <c r="C601" s="42" t="s">
        <v>1219</v>
      </c>
      <c r="D601" s="43">
        <v>3844</v>
      </c>
      <c r="E601" s="42" t="s">
        <v>1308</v>
      </c>
      <c r="F601" s="49" t="s">
        <v>1193</v>
      </c>
      <c r="G601" s="36" t="s">
        <v>1309</v>
      </c>
      <c r="H601" s="44"/>
      <c r="I601" s="44"/>
      <c r="J601" s="44"/>
      <c r="K601" s="44"/>
      <c r="L601" s="44"/>
      <c r="M601" s="44"/>
      <c r="N601" s="36"/>
      <c r="O601" s="36"/>
      <c r="P601" s="45"/>
      <c r="Q601" s="45"/>
      <c r="R601" s="44"/>
      <c r="S601" s="46" t="s">
        <v>33</v>
      </c>
      <c r="T601" s="30" t="str">
        <f>IFERROR(VLOOKUP(O601, '[1]CURSOS 2025'!A:B, 2, FALSE), "")</f>
        <v/>
      </c>
      <c r="U601" s="39">
        <f t="shared" si="94"/>
        <v>0</v>
      </c>
    </row>
    <row r="602" spans="1:21" s="40" customFormat="1" ht="39.950000000000003" customHeight="1" thickBot="1" x14ac:dyDescent="0.35">
      <c r="A602" s="30">
        <f t="array" ref="A602">IF(B602&lt;&gt;"",COUNTIF($B$19:B602,"&lt;&gt;"),"")</f>
        <v>535</v>
      </c>
      <c r="B602" s="41">
        <v>336</v>
      </c>
      <c r="C602" s="42" t="s">
        <v>1303</v>
      </c>
      <c r="D602" s="43">
        <v>1824</v>
      </c>
      <c r="E602" s="42" t="s">
        <v>1310</v>
      </c>
      <c r="F602" s="49" t="s">
        <v>1193</v>
      </c>
      <c r="G602" s="36" t="s">
        <v>1311</v>
      </c>
      <c r="H602" s="44"/>
      <c r="I602" s="44"/>
      <c r="J602" s="44"/>
      <c r="K602" s="44"/>
      <c r="L602" s="44"/>
      <c r="M602" s="44"/>
      <c r="N602" s="36"/>
      <c r="O602" s="36"/>
      <c r="P602" s="45"/>
      <c r="Q602" s="45"/>
      <c r="R602" s="44"/>
      <c r="S602" s="46" t="s">
        <v>33</v>
      </c>
      <c r="T602" s="30" t="str">
        <f>IFERROR(VLOOKUP(O602, '[1]CURSOS 2025'!A:B, 2, FALSE), "")</f>
        <v/>
      </c>
      <c r="U602" s="39">
        <f t="shared" si="94"/>
        <v>0</v>
      </c>
    </row>
    <row r="603" spans="1:21" s="40" customFormat="1" ht="39.950000000000003" customHeight="1" thickBot="1" x14ac:dyDescent="0.35">
      <c r="A603" s="30">
        <f t="array" ref="A603">IF(B603&lt;&gt;"",COUNTIF($B$19:B603,"&lt;&gt;"),"")</f>
        <v>536</v>
      </c>
      <c r="B603" s="41">
        <v>336</v>
      </c>
      <c r="C603" s="42" t="s">
        <v>1303</v>
      </c>
      <c r="D603" s="43">
        <v>3558</v>
      </c>
      <c r="E603" s="42" t="s">
        <v>1312</v>
      </c>
      <c r="F603" s="49" t="s">
        <v>1193</v>
      </c>
      <c r="G603" s="36" t="s">
        <v>1313</v>
      </c>
      <c r="H603" s="44"/>
      <c r="I603" s="44"/>
      <c r="J603" s="44"/>
      <c r="K603" s="44"/>
      <c r="L603" s="44"/>
      <c r="M603" s="44"/>
      <c r="N603" s="36"/>
      <c r="O603" s="36"/>
      <c r="P603" s="45"/>
      <c r="Q603" s="45"/>
      <c r="R603" s="44"/>
      <c r="S603" s="46" t="s">
        <v>33</v>
      </c>
      <c r="T603" s="30" t="str">
        <f>IFERROR(VLOOKUP(O603, '[1]CURSOS 2025'!A:B, 2, FALSE), "")</f>
        <v/>
      </c>
      <c r="U603" s="68">
        <f>SUM(R603:R603)</f>
        <v>0</v>
      </c>
    </row>
    <row r="604" spans="1:21" s="40" customFormat="1" ht="39.950000000000003" customHeight="1" thickBot="1" x14ac:dyDescent="0.35">
      <c r="A604" s="30">
        <f t="array" ref="A604">IF(B604&lt;&gt;"",COUNTIF($B$19:B604,"&lt;&gt;"),"")</f>
        <v>537</v>
      </c>
      <c r="B604" s="41">
        <v>336</v>
      </c>
      <c r="C604" s="42" t="s">
        <v>1303</v>
      </c>
      <c r="D604" s="43">
        <v>3557</v>
      </c>
      <c r="E604" s="42" t="s">
        <v>1314</v>
      </c>
      <c r="F604" s="49" t="s">
        <v>1193</v>
      </c>
      <c r="G604" s="36" t="s">
        <v>1315</v>
      </c>
      <c r="H604" s="44"/>
      <c r="I604" s="44"/>
      <c r="J604" s="44"/>
      <c r="K604" s="44"/>
      <c r="L604" s="44"/>
      <c r="M604" s="44"/>
      <c r="N604" s="36"/>
      <c r="O604" s="36"/>
      <c r="P604" s="45"/>
      <c r="Q604" s="45"/>
      <c r="R604" s="44"/>
      <c r="S604" s="46" t="s">
        <v>33</v>
      </c>
      <c r="T604" s="30" t="str">
        <f>IFERROR(VLOOKUP(O604, '[1]CURSOS 2025'!A:B, 2, FALSE), "")</f>
        <v/>
      </c>
      <c r="U604" s="39">
        <f>SUM(R604:R604)</f>
        <v>0</v>
      </c>
    </row>
    <row r="605" spans="1:21" s="40" customFormat="1" ht="39.950000000000003" customHeight="1" thickBot="1" x14ac:dyDescent="0.35">
      <c r="A605" s="30">
        <f t="array" ref="A605">IF(B605&lt;&gt;"",COUNTIF($B$19:B605,"&lt;&gt;"),"")</f>
        <v>538</v>
      </c>
      <c r="B605" s="41">
        <v>336</v>
      </c>
      <c r="C605" s="42" t="s">
        <v>1303</v>
      </c>
      <c r="D605" s="43">
        <v>3413</v>
      </c>
      <c r="E605" s="42" t="s">
        <v>1316</v>
      </c>
      <c r="F605" s="49" t="s">
        <v>1193</v>
      </c>
      <c r="G605" s="36" t="s">
        <v>1317</v>
      </c>
      <c r="H605" s="44"/>
      <c r="I605" s="44"/>
      <c r="J605" s="44"/>
      <c r="K605" s="44"/>
      <c r="L605" s="44"/>
      <c r="M605" s="44"/>
      <c r="N605" s="36"/>
      <c r="O605" s="36"/>
      <c r="P605" s="45"/>
      <c r="Q605" s="45"/>
      <c r="R605" s="44"/>
      <c r="S605" s="46" t="s">
        <v>33</v>
      </c>
      <c r="T605" s="30" t="str">
        <f>IFERROR(VLOOKUP(O605, '[1]CURSOS 2025'!A:B, 2, FALSE), "")</f>
        <v/>
      </c>
      <c r="U605" s="39">
        <f>SUM(R605:R605)</f>
        <v>0</v>
      </c>
    </row>
    <row r="606" spans="1:21" s="40" customFormat="1" ht="39.950000000000003" customHeight="1" thickBot="1" x14ac:dyDescent="0.35">
      <c r="A606" s="30">
        <f t="array" ref="A606">IF(B606&lt;&gt;"",COUNTIF($B$19:B606,"&lt;&gt;"),"")</f>
        <v>539</v>
      </c>
      <c r="B606" s="41">
        <v>336</v>
      </c>
      <c r="C606" s="42" t="s">
        <v>1318</v>
      </c>
      <c r="D606" s="43" t="s">
        <v>1319</v>
      </c>
      <c r="E606" s="42" t="s">
        <v>1320</v>
      </c>
      <c r="F606" s="49" t="s">
        <v>1193</v>
      </c>
      <c r="G606" s="36" t="s">
        <v>1321</v>
      </c>
      <c r="H606" s="44"/>
      <c r="I606" s="44"/>
      <c r="J606" s="44"/>
      <c r="K606" s="44"/>
      <c r="L606" s="44"/>
      <c r="M606" s="44"/>
      <c r="N606" s="36"/>
      <c r="O606" s="36"/>
      <c r="P606" s="45"/>
      <c r="Q606" s="45"/>
      <c r="R606" s="44"/>
      <c r="S606" s="44" t="s">
        <v>33</v>
      </c>
      <c r="T606" s="30" t="str">
        <f>IFERROR(VLOOKUP(O606, '[1]CURSOS 2025'!A:B, 2, FALSE), "")</f>
        <v/>
      </c>
      <c r="U606" s="48">
        <f t="shared" ref="U606" si="95">SUM(R606)</f>
        <v>0</v>
      </c>
    </row>
    <row r="607" spans="1:21" s="40" customFormat="1" ht="39.75" customHeight="1" thickBot="1" x14ac:dyDescent="0.35">
      <c r="A607" s="30">
        <f t="array" ref="A607">IF(B607&lt;&gt;"",COUNTIF($B$19:B607,"&lt;&gt;"),"")</f>
        <v>540</v>
      </c>
      <c r="B607" s="41">
        <v>336</v>
      </c>
      <c r="C607" s="42" t="s">
        <v>1289</v>
      </c>
      <c r="D607" s="43">
        <v>3265</v>
      </c>
      <c r="E607" s="42" t="s">
        <v>1322</v>
      </c>
      <c r="F607" s="49" t="s">
        <v>1193</v>
      </c>
      <c r="G607" s="36" t="s">
        <v>1323</v>
      </c>
      <c r="H607" s="44"/>
      <c r="I607" s="44"/>
      <c r="J607" s="44"/>
      <c r="K607" s="44"/>
      <c r="L607" s="44"/>
      <c r="M607" s="44"/>
      <c r="N607" s="36"/>
      <c r="O607" s="36"/>
      <c r="P607" s="45"/>
      <c r="Q607" s="45"/>
      <c r="R607" s="44"/>
      <c r="S607" s="46" t="s">
        <v>33</v>
      </c>
      <c r="T607" s="30" t="str">
        <f>IFERROR(VLOOKUP(O607, '[1]CURSOS 2025'!A:B, 2, FALSE), "")</f>
        <v/>
      </c>
      <c r="U607" s="39">
        <f t="shared" ref="U607:U616" si="96">SUM(R607:R607)</f>
        <v>0</v>
      </c>
    </row>
    <row r="608" spans="1:21" s="40" customFormat="1" ht="39.950000000000003" customHeight="1" thickBot="1" x14ac:dyDescent="0.35">
      <c r="A608" s="30">
        <f t="array" ref="A608">IF(B608&lt;&gt;"",COUNTIF($B$19:B608,"&lt;&gt;"),"")</f>
        <v>541</v>
      </c>
      <c r="B608" s="41">
        <v>336</v>
      </c>
      <c r="C608" s="42" t="s">
        <v>1289</v>
      </c>
      <c r="D608" s="43">
        <v>3647</v>
      </c>
      <c r="E608" s="42" t="s">
        <v>1324</v>
      </c>
      <c r="F608" s="49" t="s">
        <v>1193</v>
      </c>
      <c r="G608" s="36" t="s">
        <v>1325</v>
      </c>
      <c r="H608" s="44"/>
      <c r="I608" s="44"/>
      <c r="J608" s="44"/>
      <c r="K608" s="44"/>
      <c r="L608" s="44"/>
      <c r="M608" s="44"/>
      <c r="N608" s="36"/>
      <c r="O608" s="36"/>
      <c r="P608" s="45"/>
      <c r="Q608" s="45"/>
      <c r="R608" s="44"/>
      <c r="S608" s="46" t="s">
        <v>33</v>
      </c>
      <c r="T608" s="30" t="str">
        <f>IFERROR(VLOOKUP(O608, '[1]CURSOS 2025'!A:B, 2, FALSE), "")</f>
        <v/>
      </c>
      <c r="U608" s="39">
        <f t="shared" si="96"/>
        <v>0</v>
      </c>
    </row>
    <row r="609" spans="1:21" s="40" customFormat="1" ht="39.950000000000003" customHeight="1" thickBot="1" x14ac:dyDescent="0.35">
      <c r="A609" s="30">
        <f t="array" ref="A609">IF(B609&lt;&gt;"",COUNTIF($B$19:B609,"&lt;&gt;"),"")</f>
        <v>542</v>
      </c>
      <c r="B609" s="41">
        <v>336</v>
      </c>
      <c r="C609" s="42" t="s">
        <v>1326</v>
      </c>
      <c r="D609" s="43">
        <v>3477</v>
      </c>
      <c r="E609" s="42" t="s">
        <v>1327</v>
      </c>
      <c r="F609" s="49" t="s">
        <v>1193</v>
      </c>
      <c r="G609" s="36" t="s">
        <v>1328</v>
      </c>
      <c r="H609" s="44"/>
      <c r="I609" s="44"/>
      <c r="J609" s="44"/>
      <c r="K609" s="44"/>
      <c r="L609" s="44"/>
      <c r="M609" s="44"/>
      <c r="N609" s="36"/>
      <c r="O609" s="36"/>
      <c r="P609" s="45"/>
      <c r="Q609" s="45"/>
      <c r="R609" s="44"/>
      <c r="S609" s="46" t="s">
        <v>33</v>
      </c>
      <c r="T609" s="30" t="str">
        <f>IFERROR(VLOOKUP(O609, '[1]CURSOS 2025'!A:B, 2, FALSE), "")</f>
        <v/>
      </c>
      <c r="U609" s="39">
        <f t="shared" si="96"/>
        <v>0</v>
      </c>
    </row>
    <row r="610" spans="1:21" s="40" customFormat="1" ht="39.950000000000003" customHeight="1" thickBot="1" x14ac:dyDescent="0.35">
      <c r="A610" s="30">
        <f t="array" ref="A610">IF(B610&lt;&gt;"",COUNTIF($B$19:B610,"&lt;&gt;"),"")</f>
        <v>543</v>
      </c>
      <c r="B610" s="41">
        <v>336</v>
      </c>
      <c r="C610" s="42" t="s">
        <v>1326</v>
      </c>
      <c r="D610" s="43">
        <v>1844</v>
      </c>
      <c r="E610" s="42" t="s">
        <v>1329</v>
      </c>
      <c r="F610" s="49" t="s">
        <v>1193</v>
      </c>
      <c r="G610" s="36" t="s">
        <v>1330</v>
      </c>
      <c r="H610" s="44"/>
      <c r="I610" s="44"/>
      <c r="J610" s="44"/>
      <c r="K610" s="44"/>
      <c r="L610" s="44"/>
      <c r="M610" s="44"/>
      <c r="N610" s="36"/>
      <c r="O610" s="36"/>
      <c r="P610" s="45"/>
      <c r="Q610" s="45"/>
      <c r="R610" s="44"/>
      <c r="S610" s="46" t="s">
        <v>33</v>
      </c>
      <c r="T610" s="30" t="str">
        <f>IFERROR(VLOOKUP(O610, '[1]CURSOS 2025'!A:B, 2, FALSE), "")</f>
        <v/>
      </c>
      <c r="U610" s="39">
        <f t="shared" si="96"/>
        <v>0</v>
      </c>
    </row>
    <row r="611" spans="1:21" s="40" customFormat="1" ht="60.75" customHeight="1" thickBot="1" x14ac:dyDescent="0.35">
      <c r="A611" s="30">
        <f t="array" ref="A611">IF(B611&lt;&gt;"",COUNTIF($B$19:B611,"&lt;&gt;"),"")</f>
        <v>544</v>
      </c>
      <c r="B611" s="41">
        <v>336</v>
      </c>
      <c r="C611" s="42" t="s">
        <v>1326</v>
      </c>
      <c r="D611" s="43">
        <v>3248</v>
      </c>
      <c r="E611" s="42" t="s">
        <v>1331</v>
      </c>
      <c r="F611" s="49" t="s">
        <v>1193</v>
      </c>
      <c r="G611" s="36" t="s">
        <v>1332</v>
      </c>
      <c r="H611" s="44"/>
      <c r="I611" s="44"/>
      <c r="J611" s="44"/>
      <c r="K611" s="44"/>
      <c r="L611" s="44"/>
      <c r="M611" s="44"/>
      <c r="N611" s="36"/>
      <c r="O611" s="36"/>
      <c r="P611" s="45"/>
      <c r="Q611" s="45"/>
      <c r="R611" s="44"/>
      <c r="S611" s="46" t="s">
        <v>33</v>
      </c>
      <c r="T611" s="30" t="str">
        <f>IFERROR(VLOOKUP(O611, '[1]CURSOS 2025'!A:B, 2, FALSE), "")</f>
        <v/>
      </c>
      <c r="U611" s="39">
        <f t="shared" si="96"/>
        <v>0</v>
      </c>
    </row>
    <row r="612" spans="1:21" s="40" customFormat="1" ht="45.75" customHeight="1" thickBot="1" x14ac:dyDescent="0.35">
      <c r="A612" s="30">
        <f t="array" ref="A612">IF(B612&lt;&gt;"",COUNTIF($B$19:B612,"&lt;&gt;"),"")</f>
        <v>545</v>
      </c>
      <c r="B612" s="41">
        <v>336</v>
      </c>
      <c r="C612" s="42" t="s">
        <v>1228</v>
      </c>
      <c r="D612" s="43">
        <v>1969</v>
      </c>
      <c r="E612" s="42" t="s">
        <v>1333</v>
      </c>
      <c r="F612" s="49" t="s">
        <v>1193</v>
      </c>
      <c r="G612" s="36" t="s">
        <v>1334</v>
      </c>
      <c r="H612" s="44"/>
      <c r="I612" s="44"/>
      <c r="J612" s="44"/>
      <c r="K612" s="44"/>
      <c r="L612" s="44"/>
      <c r="M612" s="44"/>
      <c r="N612" s="36"/>
      <c r="O612" s="36"/>
      <c r="P612" s="45"/>
      <c r="Q612" s="45"/>
      <c r="R612" s="44"/>
      <c r="S612" s="46" t="s">
        <v>33</v>
      </c>
      <c r="T612" s="30" t="str">
        <f>IFERROR(VLOOKUP(O612, '[1]CURSOS 2025'!A:B, 2, FALSE), "")</f>
        <v/>
      </c>
      <c r="U612" s="39">
        <f t="shared" si="96"/>
        <v>0</v>
      </c>
    </row>
    <row r="613" spans="1:21" s="40" customFormat="1" ht="30.75" customHeight="1" thickBot="1" x14ac:dyDescent="0.35">
      <c r="A613" s="30">
        <f t="array" ref="A613">IF(B613&lt;&gt;"",COUNTIF($B$19:B613,"&lt;&gt;"),"")</f>
        <v>546</v>
      </c>
      <c r="B613" s="41">
        <v>336</v>
      </c>
      <c r="C613" s="42" t="s">
        <v>1228</v>
      </c>
      <c r="D613" s="43">
        <v>3752</v>
      </c>
      <c r="E613" s="42" t="s">
        <v>1335</v>
      </c>
      <c r="F613" s="49" t="s">
        <v>1193</v>
      </c>
      <c r="G613" s="36" t="s">
        <v>1336</v>
      </c>
      <c r="H613" s="44"/>
      <c r="I613" s="44"/>
      <c r="J613" s="44"/>
      <c r="K613" s="44"/>
      <c r="L613" s="44"/>
      <c r="M613" s="44"/>
      <c r="N613" s="36"/>
      <c r="O613" s="36"/>
      <c r="P613" s="45"/>
      <c r="Q613" s="45"/>
      <c r="R613" s="44"/>
      <c r="S613" s="46" t="s">
        <v>33</v>
      </c>
      <c r="T613" s="30" t="str">
        <f>IFERROR(VLOOKUP(O613, '[1]CURSOS 2025'!A:B, 2, FALSE), "")</f>
        <v/>
      </c>
      <c r="U613" s="39">
        <f t="shared" si="96"/>
        <v>0</v>
      </c>
    </row>
    <row r="614" spans="1:21" s="40" customFormat="1" ht="39.950000000000003" customHeight="1" thickBot="1" x14ac:dyDescent="0.35">
      <c r="A614" s="30">
        <f t="array" ref="A614">IF(B614&lt;&gt;"",COUNTIF($B$19:B614,"&lt;&gt;"),"")</f>
        <v>547</v>
      </c>
      <c r="B614" s="41">
        <v>336</v>
      </c>
      <c r="C614" s="42" t="s">
        <v>619</v>
      </c>
      <c r="D614" s="43">
        <v>3748</v>
      </c>
      <c r="E614" s="42" t="s">
        <v>1337</v>
      </c>
      <c r="F614" s="49" t="s">
        <v>1193</v>
      </c>
      <c r="G614" s="36" t="s">
        <v>1338</v>
      </c>
      <c r="H614" s="44"/>
      <c r="I614" s="44"/>
      <c r="J614" s="44"/>
      <c r="K614" s="44"/>
      <c r="L614" s="44"/>
      <c r="M614" s="44"/>
      <c r="N614" s="36"/>
      <c r="O614" s="36"/>
      <c r="P614" s="45"/>
      <c r="Q614" s="45"/>
      <c r="R614" s="44"/>
      <c r="S614" s="46" t="s">
        <v>33</v>
      </c>
      <c r="T614" s="30" t="str">
        <f>IFERROR(VLOOKUP(O614, '[1]CURSOS 2025'!A:B, 2, FALSE), "")</f>
        <v/>
      </c>
      <c r="U614" s="39">
        <f t="shared" si="96"/>
        <v>0</v>
      </c>
    </row>
    <row r="615" spans="1:21" s="40" customFormat="1" ht="39.950000000000003" customHeight="1" thickBot="1" x14ac:dyDescent="0.35">
      <c r="A615" s="30">
        <f t="array" ref="A615">IF(B615&lt;&gt;"",COUNTIF($B$19:B615,"&lt;&gt;"),"")</f>
        <v>548</v>
      </c>
      <c r="B615" s="41">
        <v>336</v>
      </c>
      <c r="C615" s="42" t="s">
        <v>1013</v>
      </c>
      <c r="D615" s="43">
        <v>3872</v>
      </c>
      <c r="E615" s="42" t="s">
        <v>1339</v>
      </c>
      <c r="F615" s="49" t="s">
        <v>1193</v>
      </c>
      <c r="G615" s="36" t="s">
        <v>1340</v>
      </c>
      <c r="H615" s="44"/>
      <c r="I615" s="44"/>
      <c r="J615" s="44"/>
      <c r="K615" s="44"/>
      <c r="L615" s="44"/>
      <c r="M615" s="44"/>
      <c r="N615" s="36"/>
      <c r="O615" s="36"/>
      <c r="P615" s="45"/>
      <c r="Q615" s="45"/>
      <c r="R615" s="44"/>
      <c r="S615" s="46" t="s">
        <v>33</v>
      </c>
      <c r="T615" s="30" t="str">
        <f>IFERROR(VLOOKUP(O615, '[1]CURSOS 2025'!A:B, 2, FALSE), "")</f>
        <v/>
      </c>
      <c r="U615" s="39">
        <f t="shared" si="96"/>
        <v>0</v>
      </c>
    </row>
    <row r="616" spans="1:21" s="40" customFormat="1" ht="39.950000000000003" customHeight="1" thickBot="1" x14ac:dyDescent="0.35">
      <c r="A616" s="30">
        <f t="array" ref="A616">IF(B616&lt;&gt;"",COUNTIF($B$19:B616,"&lt;&gt;"),"")</f>
        <v>549</v>
      </c>
      <c r="B616" s="41">
        <v>336</v>
      </c>
      <c r="C616" s="42" t="s">
        <v>1013</v>
      </c>
      <c r="D616" s="43">
        <v>3894</v>
      </c>
      <c r="E616" s="42" t="s">
        <v>1341</v>
      </c>
      <c r="F616" s="49" t="s">
        <v>1193</v>
      </c>
      <c r="G616" s="36" t="s">
        <v>1342</v>
      </c>
      <c r="H616" s="44"/>
      <c r="I616" s="44"/>
      <c r="J616" s="44"/>
      <c r="K616" s="44"/>
      <c r="L616" s="44"/>
      <c r="M616" s="44"/>
      <c r="N616" s="36"/>
      <c r="O616" s="36"/>
      <c r="P616" s="45"/>
      <c r="Q616" s="45"/>
      <c r="R616" s="44"/>
      <c r="S616" s="46" t="s">
        <v>33</v>
      </c>
      <c r="T616" s="30" t="str">
        <f>IFERROR(VLOOKUP(O616, '[1]CURSOS 2025'!A:B, 2, FALSE), "")</f>
        <v/>
      </c>
      <c r="U616" s="39">
        <f t="shared" si="96"/>
        <v>0</v>
      </c>
    </row>
    <row r="617" spans="1:21" s="40" customFormat="1" ht="39.950000000000003" customHeight="1" thickBot="1" x14ac:dyDescent="0.35">
      <c r="A617" s="30">
        <f t="array" ref="A617">IF(B617&lt;&gt;"",COUNTIF($B$19:B617,"&lt;&gt;"),"")</f>
        <v>550</v>
      </c>
      <c r="B617" s="41">
        <v>336</v>
      </c>
      <c r="C617" s="42" t="s">
        <v>1013</v>
      </c>
      <c r="D617" s="43">
        <v>3596</v>
      </c>
      <c r="E617" s="42" t="s">
        <v>1343</v>
      </c>
      <c r="F617" s="49" t="s">
        <v>1193</v>
      </c>
      <c r="G617" s="36" t="s">
        <v>1344</v>
      </c>
      <c r="H617" s="44"/>
      <c r="I617" s="44"/>
      <c r="J617" s="44"/>
      <c r="K617" s="44"/>
      <c r="L617" s="44"/>
      <c r="M617" s="44"/>
      <c r="N617" s="36"/>
      <c r="O617" s="36"/>
      <c r="P617" s="45"/>
      <c r="Q617" s="45"/>
      <c r="R617" s="44"/>
      <c r="S617" s="44" t="s">
        <v>33</v>
      </c>
      <c r="T617" s="30" t="str">
        <f>IFERROR(VLOOKUP(O617, '[1]CURSOS 2025'!A:B, 2, FALSE), "")</f>
        <v/>
      </c>
      <c r="U617" s="48">
        <f t="shared" ref="U617" si="97">SUM(R617)</f>
        <v>0</v>
      </c>
    </row>
    <row r="618" spans="1:21" s="40" customFormat="1" ht="39.950000000000003" customHeight="1" thickBot="1" x14ac:dyDescent="0.35">
      <c r="A618" s="30">
        <f t="array" ref="A618">IF(B618&lt;&gt;"",COUNTIF($B$19:B618,"&lt;&gt;"),"")</f>
        <v>551</v>
      </c>
      <c r="B618" s="41">
        <v>336</v>
      </c>
      <c r="C618" s="42" t="s">
        <v>619</v>
      </c>
      <c r="D618" s="43" t="s">
        <v>1345</v>
      </c>
      <c r="E618" s="42" t="s">
        <v>1346</v>
      </c>
      <c r="F618" s="49" t="s">
        <v>1193</v>
      </c>
      <c r="G618" s="36" t="s">
        <v>1347</v>
      </c>
      <c r="H618" s="44"/>
      <c r="I618" s="44"/>
      <c r="J618" s="44"/>
      <c r="K618" s="44"/>
      <c r="L618" s="44"/>
      <c r="M618" s="44"/>
      <c r="N618" s="36"/>
      <c r="O618" s="36"/>
      <c r="P618" s="45"/>
      <c r="Q618" s="45"/>
      <c r="R618" s="44"/>
      <c r="S618" s="46" t="s">
        <v>33</v>
      </c>
      <c r="T618" s="30" t="str">
        <f>IFERROR(VLOOKUP(O618, '[1]CURSOS 2025'!A:B, 2, FALSE), "")</f>
        <v/>
      </c>
      <c r="U618" s="39">
        <f>SUM(R618:R618)</f>
        <v>0</v>
      </c>
    </row>
    <row r="619" spans="1:21" s="40" customFormat="1" ht="30.75" customHeight="1" thickBot="1" x14ac:dyDescent="0.35">
      <c r="A619" s="30">
        <f t="array" ref="A619">IF(B619&lt;&gt;"",COUNTIF($B$19:B619,"&lt;&gt;"),"")</f>
        <v>552</v>
      </c>
      <c r="B619" s="41">
        <v>336</v>
      </c>
      <c r="C619" s="42" t="s">
        <v>1348</v>
      </c>
      <c r="D619" s="43">
        <v>3648</v>
      </c>
      <c r="E619" s="42" t="s">
        <v>1349</v>
      </c>
      <c r="F619" s="49" t="s">
        <v>1193</v>
      </c>
      <c r="G619" s="36" t="s">
        <v>1350</v>
      </c>
      <c r="H619" s="44"/>
      <c r="I619" s="44"/>
      <c r="J619" s="44"/>
      <c r="K619" s="44"/>
      <c r="L619" s="44"/>
      <c r="M619" s="44"/>
      <c r="N619" s="36"/>
      <c r="O619" s="36"/>
      <c r="P619" s="45"/>
      <c r="Q619" s="45"/>
      <c r="R619" s="44"/>
      <c r="S619" s="46" t="s">
        <v>33</v>
      </c>
      <c r="T619" s="30" t="str">
        <f>IFERROR(VLOOKUP(O619, '[1]CURSOS 2025'!A:B, 2, FALSE), "")</f>
        <v/>
      </c>
      <c r="U619" s="39">
        <f>SUM(R619:R619)</f>
        <v>0</v>
      </c>
    </row>
    <row r="620" spans="1:21" s="40" customFormat="1" ht="30.75" customHeight="1" thickBot="1" x14ac:dyDescent="0.35">
      <c r="A620" s="30">
        <f t="array" ref="A620">IF(B620&lt;&gt;"",COUNTIF($B$19:B620,"&lt;&gt;"),"")</f>
        <v>553</v>
      </c>
      <c r="B620" s="41">
        <v>336</v>
      </c>
      <c r="C620" s="42" t="s">
        <v>1351</v>
      </c>
      <c r="D620" s="43">
        <v>3654</v>
      </c>
      <c r="E620" s="42" t="s">
        <v>1352</v>
      </c>
      <c r="F620" s="49" t="s">
        <v>1193</v>
      </c>
      <c r="G620" s="36" t="s">
        <v>1353</v>
      </c>
      <c r="H620" s="44"/>
      <c r="I620" s="44"/>
      <c r="J620" s="44"/>
      <c r="K620" s="44"/>
      <c r="L620" s="44"/>
      <c r="M620" s="44"/>
      <c r="N620" s="36"/>
      <c r="O620" s="36"/>
      <c r="P620" s="45"/>
      <c r="Q620" s="45"/>
      <c r="R620" s="44"/>
      <c r="S620" s="46" t="s">
        <v>33</v>
      </c>
      <c r="T620" s="30" t="str">
        <f>IFERROR(VLOOKUP(O620, '[1]CURSOS 2025'!A:B, 2, FALSE), "")</f>
        <v/>
      </c>
      <c r="U620" s="39">
        <f>SUM(R620:R620)</f>
        <v>0</v>
      </c>
    </row>
    <row r="621" spans="1:21" s="40" customFormat="1" ht="30.75" customHeight="1" thickBot="1" x14ac:dyDescent="0.35">
      <c r="A621" s="30">
        <f t="array" ref="A621">IF(B621&lt;&gt;"",COUNTIF($B$19:B621,"&lt;&gt;"),"")</f>
        <v>554</v>
      </c>
      <c r="B621" s="41">
        <v>336</v>
      </c>
      <c r="C621" s="42" t="s">
        <v>726</v>
      </c>
      <c r="D621" s="43" t="s">
        <v>1354</v>
      </c>
      <c r="E621" s="42" t="s">
        <v>1355</v>
      </c>
      <c r="F621" s="49" t="s">
        <v>1193</v>
      </c>
      <c r="G621" s="36" t="s">
        <v>1356</v>
      </c>
      <c r="H621" s="44"/>
      <c r="I621" s="44"/>
      <c r="J621" s="44"/>
      <c r="K621" s="44" t="s">
        <v>231</v>
      </c>
      <c r="L621" s="44" t="s">
        <v>231</v>
      </c>
      <c r="M621" s="44" t="s">
        <v>231</v>
      </c>
      <c r="N621" s="36" t="s">
        <v>1537</v>
      </c>
      <c r="O621" s="36" t="s">
        <v>1715</v>
      </c>
      <c r="P621" s="45">
        <v>46071</v>
      </c>
      <c r="Q621" s="45">
        <v>46071</v>
      </c>
      <c r="R621" s="44">
        <v>2</v>
      </c>
      <c r="S621" s="46" t="s">
        <v>33</v>
      </c>
      <c r="T621" s="30" t="s">
        <v>234</v>
      </c>
      <c r="U621" s="39">
        <f>SUM(R621:R621)</f>
        <v>2</v>
      </c>
    </row>
    <row r="622" spans="1:21" s="40" customFormat="1" ht="39.75" customHeight="1" thickBot="1" x14ac:dyDescent="0.45">
      <c r="A622" s="30">
        <f t="array" ref="A622">IF(B622&lt;&gt;"",COUNTIF($B$19:B622,"&lt;&gt;"),"")</f>
        <v>555</v>
      </c>
      <c r="B622" s="41">
        <v>336</v>
      </c>
      <c r="C622" s="42" t="s">
        <v>1357</v>
      </c>
      <c r="D622" s="43" t="s">
        <v>1358</v>
      </c>
      <c r="E622" s="42" t="s">
        <v>1359</v>
      </c>
      <c r="F622" s="49" t="s">
        <v>1193</v>
      </c>
      <c r="G622" s="67" t="s">
        <v>1360</v>
      </c>
      <c r="H622" s="44"/>
      <c r="I622" s="44"/>
      <c r="J622" s="44"/>
      <c r="K622" s="44"/>
      <c r="L622" s="44"/>
      <c r="M622" s="44"/>
      <c r="N622" s="36"/>
      <c r="O622" s="36"/>
      <c r="P622" s="45"/>
      <c r="Q622" s="45"/>
      <c r="R622" s="44"/>
      <c r="S622" s="46" t="s">
        <v>33</v>
      </c>
      <c r="T622" s="30" t="str">
        <f>IFERROR(VLOOKUP(O622, '[1]CURSOS 2025'!A:B, 2, FALSE), "")</f>
        <v/>
      </c>
      <c r="U622" s="39">
        <f>SUM(R622:R622)</f>
        <v>0</v>
      </c>
    </row>
    <row r="623" spans="1:21" s="40" customFormat="1" ht="39.950000000000003" customHeight="1" thickBot="1" x14ac:dyDescent="0.35">
      <c r="A623" s="30">
        <f t="array" ref="A623">IF(B623&lt;&gt;"",COUNTIF($B$19:B623,"&lt;&gt;"),"")</f>
        <v>556</v>
      </c>
      <c r="B623" s="41">
        <v>336</v>
      </c>
      <c r="C623" s="42" t="s">
        <v>530</v>
      </c>
      <c r="D623" s="43" t="s">
        <v>1361</v>
      </c>
      <c r="E623" s="42" t="s">
        <v>1362</v>
      </c>
      <c r="F623" s="49" t="s">
        <v>1193</v>
      </c>
      <c r="G623" s="36" t="s">
        <v>1363</v>
      </c>
      <c r="H623" s="44"/>
      <c r="I623" s="44"/>
      <c r="J623" s="44"/>
      <c r="K623" s="44"/>
      <c r="L623" s="44"/>
      <c r="M623" s="44"/>
      <c r="N623" s="36"/>
      <c r="O623" s="36"/>
      <c r="P623" s="45"/>
      <c r="Q623" s="45"/>
      <c r="R623" s="44"/>
      <c r="S623" s="46" t="s">
        <v>33</v>
      </c>
      <c r="T623" s="30" t="str">
        <f>IFERROR(VLOOKUP(O623, '[1]CURSOS 2025'!A:B, 2, FALSE), "")</f>
        <v/>
      </c>
      <c r="U623" s="39">
        <f>R623:R623</f>
        <v>0</v>
      </c>
    </row>
    <row r="624" spans="1:21" s="40" customFormat="1" ht="39.950000000000003" customHeight="1" thickBot="1" x14ac:dyDescent="0.35">
      <c r="A624" s="30">
        <f t="array" ref="A624">IF(B624&lt;&gt;"",COUNTIF($B$19:B624,"&lt;&gt;"),"")</f>
        <v>557</v>
      </c>
      <c r="B624" s="41">
        <v>336</v>
      </c>
      <c r="C624" s="42" t="s">
        <v>530</v>
      </c>
      <c r="D624" s="43">
        <v>3916</v>
      </c>
      <c r="E624" s="42" t="s">
        <v>1364</v>
      </c>
      <c r="F624" s="49" t="s">
        <v>1193</v>
      </c>
      <c r="G624" s="36" t="s">
        <v>1365</v>
      </c>
      <c r="H624" s="44"/>
      <c r="I624" s="44"/>
      <c r="J624" s="44"/>
      <c r="K624" s="44"/>
      <c r="L624" s="44"/>
      <c r="M624" s="44"/>
      <c r="N624" s="36"/>
      <c r="O624" s="36"/>
      <c r="P624" s="45"/>
      <c r="Q624" s="45"/>
      <c r="R624" s="44"/>
      <c r="S624" s="46" t="s">
        <v>33</v>
      </c>
      <c r="T624" s="30" t="str">
        <f>IFERROR(VLOOKUP(O624, '[1]CURSOS 2025'!A:B, 2, FALSE), "")</f>
        <v/>
      </c>
      <c r="U624" s="39">
        <f>R624:R624</f>
        <v>0</v>
      </c>
    </row>
    <row r="625" spans="1:21" s="40" customFormat="1" ht="30.75" customHeight="1" thickBot="1" x14ac:dyDescent="0.35">
      <c r="A625" s="30">
        <f t="array" ref="A625">IF(B625&lt;&gt;"",COUNTIF($B$19:B625,"&lt;&gt;"),"")</f>
        <v>558</v>
      </c>
      <c r="B625" s="41">
        <v>336</v>
      </c>
      <c r="C625" s="42" t="s">
        <v>530</v>
      </c>
      <c r="D625" s="43" t="s">
        <v>1366</v>
      </c>
      <c r="E625" s="42" t="s">
        <v>1367</v>
      </c>
      <c r="F625" s="49" t="s">
        <v>1193</v>
      </c>
      <c r="G625" s="36" t="s">
        <v>1368</v>
      </c>
      <c r="H625" s="44"/>
      <c r="I625" s="44"/>
      <c r="J625" s="44"/>
      <c r="K625" s="44"/>
      <c r="L625" s="44"/>
      <c r="M625" s="44"/>
      <c r="N625" s="36"/>
      <c r="O625" s="36"/>
      <c r="P625" s="45"/>
      <c r="Q625" s="45"/>
      <c r="R625" s="44"/>
      <c r="S625" s="46" t="s">
        <v>33</v>
      </c>
      <c r="T625" s="30" t="str">
        <f>IFERROR(VLOOKUP(O625, '[1]CURSOS 2025'!A:B, 2, FALSE), "")</f>
        <v/>
      </c>
      <c r="U625" s="39">
        <f>SUM(R625:R625)</f>
        <v>0</v>
      </c>
    </row>
    <row r="626" spans="1:21" s="40" customFormat="1" ht="39.950000000000003" customHeight="1" thickBot="1" x14ac:dyDescent="0.35">
      <c r="A626" s="30">
        <f t="array" ref="A626">IF(B626&lt;&gt;"",COUNTIF($B$19:B626,"&lt;&gt;"),"")</f>
        <v>559</v>
      </c>
      <c r="B626" s="41">
        <v>336</v>
      </c>
      <c r="C626" s="42" t="s">
        <v>697</v>
      </c>
      <c r="D626" s="43" t="s">
        <v>1369</v>
      </c>
      <c r="E626" s="42" t="s">
        <v>1370</v>
      </c>
      <c r="F626" s="49" t="s">
        <v>1193</v>
      </c>
      <c r="G626" s="36" t="s">
        <v>1371</v>
      </c>
      <c r="H626" s="44"/>
      <c r="I626" s="44"/>
      <c r="J626" s="44"/>
      <c r="K626" s="44"/>
      <c r="L626" s="44"/>
      <c r="M626" s="44"/>
      <c r="N626" s="36"/>
      <c r="O626" s="36"/>
      <c r="P626" s="45"/>
      <c r="Q626" s="45"/>
      <c r="R626" s="44"/>
      <c r="S626" s="46" t="s">
        <v>33</v>
      </c>
      <c r="T626" s="30" t="str">
        <f>IFERROR(VLOOKUP(O626, '[1]CURSOS 2025'!A:B, 2, FALSE), "")</f>
        <v/>
      </c>
      <c r="U626" s="39">
        <f>R626:R626</f>
        <v>0</v>
      </c>
    </row>
    <row r="627" spans="1:21" s="40" customFormat="1" ht="39.950000000000003" customHeight="1" thickBot="1" x14ac:dyDescent="0.35">
      <c r="A627" s="30">
        <f t="array" ref="A627">IF(B627&lt;&gt;"",COUNTIF($B$19:B627,"&lt;&gt;"),"")</f>
        <v>560</v>
      </c>
      <c r="B627" s="41">
        <v>336</v>
      </c>
      <c r="C627" s="42" t="s">
        <v>530</v>
      </c>
      <c r="D627" s="43">
        <v>3959</v>
      </c>
      <c r="E627" s="42" t="s">
        <v>1372</v>
      </c>
      <c r="F627" s="49" t="s">
        <v>1193</v>
      </c>
      <c r="G627" s="36" t="s">
        <v>1373</v>
      </c>
      <c r="H627" s="44"/>
      <c r="I627" s="44"/>
      <c r="J627" s="44"/>
      <c r="K627" s="44"/>
      <c r="L627" s="44"/>
      <c r="M627" s="44"/>
      <c r="N627" s="36"/>
      <c r="O627" s="36"/>
      <c r="P627" s="45"/>
      <c r="Q627" s="45"/>
      <c r="R627" s="44"/>
      <c r="S627" s="46" t="s">
        <v>33</v>
      </c>
      <c r="T627" s="30" t="str">
        <f>IFERROR(VLOOKUP(O627, '[1]CURSOS 2025'!A:B, 2, FALSE), "")</f>
        <v/>
      </c>
      <c r="U627" s="39">
        <f>SUM(R627:R627)</f>
        <v>0</v>
      </c>
    </row>
    <row r="628" spans="1:21" s="40" customFormat="1" ht="39.950000000000003" customHeight="1" thickBot="1" x14ac:dyDescent="0.35">
      <c r="A628" s="30">
        <f t="array" ref="A628">IF(B628&lt;&gt;"",COUNTIF($B$19:B628,"&lt;&gt;"),"")</f>
        <v>561</v>
      </c>
      <c r="B628" s="41">
        <v>336</v>
      </c>
      <c r="C628" s="42" t="s">
        <v>530</v>
      </c>
      <c r="D628" s="43" t="s">
        <v>1374</v>
      </c>
      <c r="E628" s="42" t="s">
        <v>1375</v>
      </c>
      <c r="F628" s="49" t="s">
        <v>1193</v>
      </c>
      <c r="G628" s="36" t="s">
        <v>1376</v>
      </c>
      <c r="H628" s="44"/>
      <c r="I628" s="44"/>
      <c r="J628" s="44"/>
      <c r="K628" s="44"/>
      <c r="L628" s="44"/>
      <c r="M628" s="44"/>
      <c r="N628" s="36"/>
      <c r="O628" s="36"/>
      <c r="P628" s="45"/>
      <c r="Q628" s="45"/>
      <c r="R628" s="44"/>
      <c r="S628" s="46" t="s">
        <v>33</v>
      </c>
      <c r="T628" s="30" t="str">
        <f>IFERROR(VLOOKUP(O628, '[1]CURSOS 2025'!A:B, 2, FALSE), "")</f>
        <v/>
      </c>
      <c r="U628" s="39">
        <f>SUM(R628:R628)</f>
        <v>0</v>
      </c>
    </row>
    <row r="629" spans="1:21" s="40" customFormat="1" ht="39.950000000000003" customHeight="1" thickBot="1" x14ac:dyDescent="0.35">
      <c r="A629" s="30">
        <f t="array" ref="A629">IF(B629&lt;&gt;"",COUNTIF($B$19:B629,"&lt;&gt;"),"")</f>
        <v>562</v>
      </c>
      <c r="B629" s="41">
        <v>336</v>
      </c>
      <c r="C629" s="42" t="s">
        <v>1377</v>
      </c>
      <c r="D629" s="43" t="s">
        <v>1378</v>
      </c>
      <c r="E629" s="42" t="s">
        <v>1379</v>
      </c>
      <c r="F629" s="49" t="s">
        <v>1193</v>
      </c>
      <c r="G629" s="36"/>
      <c r="H629" s="44"/>
      <c r="I629" s="44"/>
      <c r="J629" s="44"/>
      <c r="K629" s="72"/>
      <c r="L629" s="72"/>
      <c r="M629" s="72"/>
      <c r="N629" s="36"/>
      <c r="O629" s="36"/>
      <c r="P629" s="45"/>
      <c r="Q629" s="45"/>
      <c r="R629" s="44"/>
      <c r="S629" s="46" t="s">
        <v>37</v>
      </c>
      <c r="T629" s="30" t="str">
        <f>IFERROR(VLOOKUP(O629, '[1]CURSOS 2025'!A:B, 2, FALSE), "")</f>
        <v/>
      </c>
      <c r="U629" s="39">
        <f>SUM(R629:R629)</f>
        <v>0</v>
      </c>
    </row>
    <row r="630" spans="1:21" s="40" customFormat="1" ht="39.950000000000003" customHeight="1" thickBot="1" x14ac:dyDescent="0.35">
      <c r="A630" s="30">
        <f t="array" ref="A630">IF(B630&lt;&gt;"",COUNTIF($B$19:B630,"&lt;&gt;"),"")</f>
        <v>563</v>
      </c>
      <c r="B630" s="41">
        <v>336</v>
      </c>
      <c r="C630" s="42" t="s">
        <v>1380</v>
      </c>
      <c r="D630" s="43" t="s">
        <v>1381</v>
      </c>
      <c r="E630" s="42" t="s">
        <v>1382</v>
      </c>
      <c r="F630" s="49" t="s">
        <v>1193</v>
      </c>
      <c r="G630" s="36"/>
      <c r="H630" s="44"/>
      <c r="I630" s="44"/>
      <c r="J630" s="44"/>
      <c r="K630" s="72"/>
      <c r="L630" s="72"/>
      <c r="M630" s="72"/>
      <c r="N630" s="36"/>
      <c r="O630" s="36"/>
      <c r="P630" s="45"/>
      <c r="Q630" s="45"/>
      <c r="R630" s="44"/>
      <c r="S630" s="46" t="s">
        <v>37</v>
      </c>
      <c r="T630" s="30" t="str">
        <f>IFERROR(VLOOKUP(O630, '[1]CURSOS 2025'!A:B, 2, FALSE), "")</f>
        <v/>
      </c>
      <c r="U630" s="39">
        <f>SUM(R630:R630)</f>
        <v>0</v>
      </c>
    </row>
    <row r="631" spans="1:21" s="59" customFormat="1" ht="39.950000000000003" customHeight="1" thickBot="1" x14ac:dyDescent="0.35">
      <c r="A631" s="30" t="str">
        <f t="array" ref="A631">IF(B631&lt;&gt;"",COUNTIF($B$19:B631,"&lt;&gt;"),"")</f>
        <v/>
      </c>
      <c r="B631" s="50"/>
      <c r="C631" s="51"/>
      <c r="D631" s="52"/>
      <c r="E631" s="51"/>
      <c r="F631" s="53"/>
      <c r="G631" s="53"/>
      <c r="H631" s="54"/>
      <c r="I631" s="54"/>
      <c r="J631" s="54"/>
      <c r="K631" s="54"/>
      <c r="L631" s="54"/>
      <c r="M631" s="54"/>
      <c r="N631" s="55"/>
      <c r="O631" s="55"/>
      <c r="P631" s="56"/>
      <c r="Q631" s="56"/>
      <c r="R631" s="54"/>
      <c r="S631" s="54"/>
      <c r="T631" s="57" t="str">
        <f>IFERROR(VLOOKUP(O631, '[1]CURSOS 2025'!A:B, 2, FALSE), "")</f>
        <v/>
      </c>
      <c r="U631" s="58"/>
    </row>
    <row r="632" spans="1:21" s="40" customFormat="1" ht="39.950000000000003" customHeight="1" thickBot="1" x14ac:dyDescent="0.35">
      <c r="A632" s="30">
        <f t="array" ref="A632">IF(B632&lt;&gt;"",COUNTIF($B$19:B632,"&lt;&gt;"),"")</f>
        <v>564</v>
      </c>
      <c r="B632" s="41">
        <v>810</v>
      </c>
      <c r="C632" s="42" t="s">
        <v>243</v>
      </c>
      <c r="D632" s="43" t="s">
        <v>1383</v>
      </c>
      <c r="E632" s="42" t="s">
        <v>1384</v>
      </c>
      <c r="F632" s="49" t="s">
        <v>1385</v>
      </c>
      <c r="G632" s="49" t="s">
        <v>1386</v>
      </c>
      <c r="H632" s="44"/>
      <c r="I632" s="44"/>
      <c r="J632" s="44"/>
      <c r="K632" s="44"/>
      <c r="L632" s="44"/>
      <c r="M632" s="44"/>
      <c r="N632" s="36"/>
      <c r="O632" s="36"/>
      <c r="P632" s="45"/>
      <c r="Q632" s="45"/>
      <c r="R632" s="44"/>
      <c r="S632" s="46" t="s">
        <v>37</v>
      </c>
      <c r="T632" s="30" t="str">
        <f>IFERROR(VLOOKUP(O632, '[1]CURSOS 2025'!A:B, 2, FALSE), "")</f>
        <v/>
      </c>
      <c r="U632" s="39">
        <f>R632</f>
        <v>0</v>
      </c>
    </row>
    <row r="633" spans="1:21" s="40" customFormat="1" ht="39.75" customHeight="1" thickBot="1" x14ac:dyDescent="0.35">
      <c r="A633" s="30">
        <f t="array" ref="A633">IF(B633&lt;&gt;"",COUNTIF($B$19:B633,"&lt;&gt;"),"")</f>
        <v>565</v>
      </c>
      <c r="B633" s="41">
        <v>810</v>
      </c>
      <c r="C633" s="42" t="s">
        <v>1377</v>
      </c>
      <c r="D633" s="43" t="s">
        <v>1387</v>
      </c>
      <c r="E633" s="42" t="s">
        <v>1388</v>
      </c>
      <c r="F633" s="49" t="s">
        <v>1385</v>
      </c>
      <c r="G633" s="36" t="s">
        <v>1389</v>
      </c>
      <c r="H633" s="44"/>
      <c r="I633" s="44"/>
      <c r="J633" s="44"/>
      <c r="K633" s="44"/>
      <c r="L633" s="44"/>
      <c r="M633" s="44"/>
      <c r="N633" s="36"/>
      <c r="O633" s="36"/>
      <c r="P633" s="45"/>
      <c r="Q633" s="45"/>
      <c r="R633" s="44"/>
      <c r="S633" s="46" t="s">
        <v>37</v>
      </c>
      <c r="T633" s="30" t="str">
        <f>IFERROR(VLOOKUP(O633, '[1]CURSOS 2025'!A:B, 2, FALSE), "")</f>
        <v/>
      </c>
      <c r="U633" s="39">
        <f>SUM(R633:R633)</f>
        <v>0</v>
      </c>
    </row>
    <row r="634" spans="1:21" s="40" customFormat="1" ht="39.950000000000003" customHeight="1" thickBot="1" x14ac:dyDescent="0.35">
      <c r="A634" s="30">
        <f t="array" ref="A634">IF(B634&lt;&gt;"",COUNTIF($B$19:B634,"&lt;&gt;"),"")</f>
        <v>566</v>
      </c>
      <c r="B634" s="41">
        <v>810</v>
      </c>
      <c r="C634" s="42" t="s">
        <v>42</v>
      </c>
      <c r="D634" s="43">
        <v>206244</v>
      </c>
      <c r="E634" s="42" t="s">
        <v>1390</v>
      </c>
      <c r="F634" s="49" t="s">
        <v>1385</v>
      </c>
      <c r="G634" s="36" t="s">
        <v>1391</v>
      </c>
      <c r="H634" s="44"/>
      <c r="I634" s="44"/>
      <c r="J634" s="44"/>
      <c r="K634" s="44" t="s">
        <v>231</v>
      </c>
      <c r="L634" s="44" t="s">
        <v>231</v>
      </c>
      <c r="M634" s="44" t="s">
        <v>231</v>
      </c>
      <c r="N634" s="36" t="s">
        <v>1537</v>
      </c>
      <c r="O634" s="36" t="s">
        <v>1715</v>
      </c>
      <c r="P634" s="45">
        <v>46071</v>
      </c>
      <c r="Q634" s="45">
        <v>46071</v>
      </c>
      <c r="R634" s="44">
        <v>2</v>
      </c>
      <c r="S634" s="46" t="s">
        <v>37</v>
      </c>
      <c r="T634" s="30" t="s">
        <v>234</v>
      </c>
      <c r="U634" s="39">
        <f>SUM(R634:R634)</f>
        <v>2</v>
      </c>
    </row>
    <row r="635" spans="1:21" s="40" customFormat="1" ht="39.950000000000003" customHeight="1" thickBot="1" x14ac:dyDescent="0.35">
      <c r="A635" s="30">
        <f t="array" ref="A635">IF(B635&lt;&gt;"",COUNTIF($B$19:B635,"&lt;&gt;"),"")</f>
        <v>567</v>
      </c>
      <c r="B635" s="41">
        <v>810</v>
      </c>
      <c r="C635" s="42" t="s">
        <v>1392</v>
      </c>
      <c r="D635" s="43" t="s">
        <v>1393</v>
      </c>
      <c r="E635" s="42" t="s">
        <v>1394</v>
      </c>
      <c r="F635" s="49" t="s">
        <v>1385</v>
      </c>
      <c r="G635" s="36" t="s">
        <v>1395</v>
      </c>
      <c r="H635" s="44"/>
      <c r="I635" s="44"/>
      <c r="J635" s="44"/>
      <c r="K635" s="44"/>
      <c r="L635" s="44"/>
      <c r="M635" s="44"/>
      <c r="N635" s="36"/>
      <c r="O635" s="36"/>
      <c r="P635" s="45"/>
      <c r="Q635" s="45"/>
      <c r="R635" s="44"/>
      <c r="S635" s="46" t="s">
        <v>37</v>
      </c>
      <c r="T635" s="30" t="str">
        <f>IFERROR(VLOOKUP(O635, '[1]CURSOS 2025'!A:B, 2, FALSE), "")</f>
        <v/>
      </c>
      <c r="U635" s="39">
        <f>SUM(R635:R635)</f>
        <v>0</v>
      </c>
    </row>
    <row r="636" spans="1:21" s="59" customFormat="1" ht="39.950000000000003" customHeight="1" thickBot="1" x14ac:dyDescent="0.35">
      <c r="A636" s="30" t="str">
        <f t="array" ref="A636">IF(B636&lt;&gt;"",COUNTIF($B$19:B636,"&lt;&gt;"),"")</f>
        <v/>
      </c>
      <c r="B636" s="50"/>
      <c r="C636" s="51"/>
      <c r="D636" s="52"/>
      <c r="E636" s="51"/>
      <c r="F636" s="53"/>
      <c r="G636" s="53"/>
      <c r="H636" s="54"/>
      <c r="I636" s="54"/>
      <c r="J636" s="54"/>
      <c r="K636" s="54"/>
      <c r="L636" s="54"/>
      <c r="M636" s="54"/>
      <c r="N636" s="55"/>
      <c r="O636" s="55"/>
      <c r="P636" s="56"/>
      <c r="Q636" s="56"/>
      <c r="R636" s="54"/>
      <c r="S636" s="54"/>
      <c r="T636" s="57" t="str">
        <f>IFERROR(VLOOKUP(O636, '[1]CURSOS 2025'!A:B, 2, FALSE), "")</f>
        <v/>
      </c>
      <c r="U636" s="58"/>
    </row>
    <row r="637" spans="1:21" s="40" customFormat="1" ht="39.950000000000003" customHeight="1" thickBot="1" x14ac:dyDescent="0.35">
      <c r="A637" s="30">
        <f t="array" ref="A637">IF(B637&lt;&gt;"",COUNTIF($B$19:B637,"&lt;&gt;"),"")</f>
        <v>568</v>
      </c>
      <c r="B637" s="41">
        <v>846</v>
      </c>
      <c r="C637" s="42" t="s">
        <v>1392</v>
      </c>
      <c r="D637" s="43" t="s">
        <v>1396</v>
      </c>
      <c r="E637" s="42" t="s">
        <v>1397</v>
      </c>
      <c r="F637" s="49" t="s">
        <v>1398</v>
      </c>
      <c r="G637" s="36" t="s">
        <v>1399</v>
      </c>
      <c r="H637" s="44"/>
      <c r="I637" s="44"/>
      <c r="J637" s="44"/>
      <c r="K637" s="44"/>
      <c r="L637" s="44"/>
      <c r="M637" s="44"/>
      <c r="N637" s="36"/>
      <c r="O637" s="36"/>
      <c r="P637" s="45"/>
      <c r="Q637" s="45"/>
      <c r="R637" s="44"/>
      <c r="S637" s="46" t="s">
        <v>37</v>
      </c>
      <c r="T637" s="30" t="str">
        <f>IFERROR(VLOOKUP(O637, '[1]CURSOS 2025'!A:B, 2, FALSE), "")</f>
        <v/>
      </c>
      <c r="U637" s="39">
        <f>SUM(R637:R637)</f>
        <v>0</v>
      </c>
    </row>
    <row r="638" spans="1:21" s="40" customFormat="1" ht="39.950000000000003" customHeight="1" thickBot="1" x14ac:dyDescent="0.35">
      <c r="A638" s="30">
        <f t="array" ref="A638">IF(B638&lt;&gt;"",COUNTIF($B$19:B638,"&lt;&gt;"),"")</f>
        <v>569</v>
      </c>
      <c r="B638" s="41">
        <v>846</v>
      </c>
      <c r="C638" s="42" t="s">
        <v>1400</v>
      </c>
      <c r="D638" s="43" t="s">
        <v>1401</v>
      </c>
      <c r="E638" s="42" t="s">
        <v>1402</v>
      </c>
      <c r="F638" s="49" t="s">
        <v>1398</v>
      </c>
      <c r="G638" s="36" t="s">
        <v>1403</v>
      </c>
      <c r="H638" s="44"/>
      <c r="I638" s="44"/>
      <c r="J638" s="44"/>
      <c r="K638" s="44" t="s">
        <v>231</v>
      </c>
      <c r="L638" s="44" t="s">
        <v>231</v>
      </c>
      <c r="M638" s="44" t="s">
        <v>231</v>
      </c>
      <c r="N638" s="36" t="s">
        <v>232</v>
      </c>
      <c r="O638" s="36" t="s">
        <v>1711</v>
      </c>
      <c r="P638" s="45">
        <v>46069</v>
      </c>
      <c r="Q638" s="45">
        <v>46069</v>
      </c>
      <c r="R638" s="44">
        <v>30</v>
      </c>
      <c r="S638" s="46" t="s">
        <v>37</v>
      </c>
      <c r="T638" s="30" t="s">
        <v>234</v>
      </c>
      <c r="U638" s="221">
        <f>SUM(R638:R639)</f>
        <v>60</v>
      </c>
    </row>
    <row r="639" spans="1:21" s="40" customFormat="1" ht="39.950000000000003" customHeight="1" thickBot="1" x14ac:dyDescent="0.35">
      <c r="A639" s="30"/>
      <c r="B639" s="41"/>
      <c r="C639" s="42"/>
      <c r="D639" s="43"/>
      <c r="E639" s="42"/>
      <c r="F639" s="49"/>
      <c r="G639" s="36"/>
      <c r="H639" s="44"/>
      <c r="I639" s="44"/>
      <c r="J639" s="44"/>
      <c r="K639" s="216" t="s">
        <v>231</v>
      </c>
      <c r="L639" s="214" t="s">
        <v>231</v>
      </c>
      <c r="M639" s="214" t="s">
        <v>231</v>
      </c>
      <c r="N639" s="217" t="s">
        <v>1537</v>
      </c>
      <c r="O639" s="217" t="s">
        <v>2301</v>
      </c>
      <c r="P639" s="213">
        <v>46128</v>
      </c>
      <c r="Q639" s="213">
        <v>46128</v>
      </c>
      <c r="R639" s="214">
        <v>30</v>
      </c>
      <c r="S639" s="46" t="s">
        <v>37</v>
      </c>
      <c r="T639" s="30" t="s">
        <v>234</v>
      </c>
      <c r="U639" s="223"/>
    </row>
    <row r="640" spans="1:21" s="40" customFormat="1" ht="39.950000000000003" customHeight="1" thickBot="1" x14ac:dyDescent="0.35">
      <c r="A640" s="30">
        <f t="array" ref="A640">IF(B640&lt;&gt;"",COUNTIF($B$19:B640,"&lt;&gt;"),"")</f>
        <v>570</v>
      </c>
      <c r="B640" s="41">
        <v>846</v>
      </c>
      <c r="C640" s="42" t="s">
        <v>141</v>
      </c>
      <c r="D640" s="43" t="s">
        <v>1404</v>
      </c>
      <c r="E640" s="42" t="s">
        <v>1405</v>
      </c>
      <c r="F640" s="49" t="s">
        <v>1398</v>
      </c>
      <c r="G640" s="36" t="s">
        <v>1406</v>
      </c>
      <c r="H640" s="44"/>
      <c r="I640" s="44"/>
      <c r="J640" s="44"/>
      <c r="K640" s="44" t="s">
        <v>231</v>
      </c>
      <c r="L640" s="44" t="s">
        <v>231</v>
      </c>
      <c r="M640" s="44" t="s">
        <v>231</v>
      </c>
      <c r="N640" s="36" t="s">
        <v>232</v>
      </c>
      <c r="O640" s="36" t="s">
        <v>1709</v>
      </c>
      <c r="P640" s="45">
        <v>46072</v>
      </c>
      <c r="Q640" s="45">
        <v>46072</v>
      </c>
      <c r="R640" s="44">
        <v>2</v>
      </c>
      <c r="S640" s="46" t="s">
        <v>33</v>
      </c>
      <c r="T640" s="30" t="s">
        <v>234</v>
      </c>
      <c r="U640" s="221">
        <f>SUM(R640:R642)</f>
        <v>42</v>
      </c>
    </row>
    <row r="641" spans="1:22" s="40" customFormat="1" ht="39.950000000000003" customHeight="1" thickBot="1" x14ac:dyDescent="0.35">
      <c r="A641" s="30" t="str">
        <f t="array" ref="A641">IF(B641&lt;&gt;"",COUNTIF($B$19:B641,"&lt;&gt;"),"")</f>
        <v/>
      </c>
      <c r="B641" s="41"/>
      <c r="C641" s="42"/>
      <c r="D641" s="43"/>
      <c r="E641" s="42"/>
      <c r="F641" s="49"/>
      <c r="G641" s="36"/>
      <c r="H641" s="44"/>
      <c r="I641" s="44"/>
      <c r="J641" s="44"/>
      <c r="K641" s="44" t="s">
        <v>231</v>
      </c>
      <c r="L641" s="44" t="s">
        <v>231</v>
      </c>
      <c r="M641" s="44" t="s">
        <v>231</v>
      </c>
      <c r="N641" s="36" t="s">
        <v>232</v>
      </c>
      <c r="O641" s="36" t="s">
        <v>1918</v>
      </c>
      <c r="P641" s="45">
        <v>46112</v>
      </c>
      <c r="Q641" s="45">
        <v>46112</v>
      </c>
      <c r="R641" s="44">
        <v>10</v>
      </c>
      <c r="S641" s="46" t="s">
        <v>33</v>
      </c>
      <c r="T641" s="30" t="s">
        <v>234</v>
      </c>
      <c r="U641" s="222"/>
    </row>
    <row r="642" spans="1:22" s="40" customFormat="1" ht="39.950000000000003" customHeight="1" thickBot="1" x14ac:dyDescent="0.35">
      <c r="A642" s="30"/>
      <c r="B642" s="41"/>
      <c r="C642" s="42"/>
      <c r="D642" s="43"/>
      <c r="E642" s="42"/>
      <c r="F642" s="49"/>
      <c r="G642" s="36"/>
      <c r="H642" s="44"/>
      <c r="I642" s="44"/>
      <c r="J642" s="44"/>
      <c r="K642" s="44" t="s">
        <v>231</v>
      </c>
      <c r="L642" s="44" t="s">
        <v>231</v>
      </c>
      <c r="M642" s="44" t="s">
        <v>231</v>
      </c>
      <c r="N642" s="36" t="s">
        <v>232</v>
      </c>
      <c r="O642" s="36" t="s">
        <v>2302</v>
      </c>
      <c r="P642" s="213">
        <v>46129</v>
      </c>
      <c r="Q642" s="213">
        <v>46129</v>
      </c>
      <c r="R642" s="44">
        <v>30</v>
      </c>
      <c r="S642" s="46" t="s">
        <v>33</v>
      </c>
      <c r="T642" s="30" t="s">
        <v>234</v>
      </c>
      <c r="U642" s="223"/>
    </row>
    <row r="643" spans="1:22" s="40" customFormat="1" ht="39.950000000000003" customHeight="1" thickBot="1" x14ac:dyDescent="0.35">
      <c r="A643" s="30">
        <f t="array" ref="A643">IF(B643&lt;&gt;"",COUNTIF($B$19:B643,"&lt;&gt;"),"")</f>
        <v>571</v>
      </c>
      <c r="B643" s="41">
        <v>846</v>
      </c>
      <c r="C643" s="42" t="s">
        <v>1407</v>
      </c>
      <c r="D643" s="43" t="s">
        <v>1408</v>
      </c>
      <c r="E643" s="42" t="s">
        <v>1409</v>
      </c>
      <c r="F643" s="49" t="s">
        <v>1398</v>
      </c>
      <c r="G643" s="36" t="s">
        <v>1410</v>
      </c>
      <c r="H643" s="44"/>
      <c r="I643" s="44"/>
      <c r="J643" s="44"/>
      <c r="K643" s="216" t="s">
        <v>231</v>
      </c>
      <c r="L643" s="214" t="s">
        <v>231</v>
      </c>
      <c r="M643" s="214" t="s">
        <v>231</v>
      </c>
      <c r="N643" s="217" t="s">
        <v>1537</v>
      </c>
      <c r="O643" s="217" t="s">
        <v>2305</v>
      </c>
      <c r="P643" s="219">
        <v>46119</v>
      </c>
      <c r="Q643" s="219">
        <v>46119</v>
      </c>
      <c r="R643" s="214">
        <v>20</v>
      </c>
      <c r="S643" s="46" t="s">
        <v>33</v>
      </c>
      <c r="T643" s="30" t="s">
        <v>234</v>
      </c>
      <c r="U643" s="39">
        <f t="shared" ref="U643:U660" si="98">SUM(R643:R643)</f>
        <v>20</v>
      </c>
      <c r="V643" s="40" t="s">
        <v>2314</v>
      </c>
    </row>
    <row r="644" spans="1:22" s="40" customFormat="1" ht="39.950000000000003" customHeight="1" thickBot="1" x14ac:dyDescent="0.35">
      <c r="A644" s="30">
        <f t="array" ref="A644">IF(B644&lt;&gt;"",COUNTIF($B$19:B644,"&lt;&gt;"),"")</f>
        <v>572</v>
      </c>
      <c r="B644" s="41">
        <v>846</v>
      </c>
      <c r="C644" s="42" t="s">
        <v>1411</v>
      </c>
      <c r="D644" s="43" t="s">
        <v>1412</v>
      </c>
      <c r="E644" s="42" t="s">
        <v>1413</v>
      </c>
      <c r="F644" s="49" t="s">
        <v>1398</v>
      </c>
      <c r="G644" s="36" t="s">
        <v>1414</v>
      </c>
      <c r="H644" s="44"/>
      <c r="I644" s="44"/>
      <c r="J644" s="44"/>
      <c r="K644" s="44"/>
      <c r="L644" s="44"/>
      <c r="M644" s="44"/>
      <c r="N644" s="36"/>
      <c r="O644" s="36"/>
      <c r="P644" s="45"/>
      <c r="Q644" s="45"/>
      <c r="R644" s="44"/>
      <c r="S644" s="46" t="s">
        <v>33</v>
      </c>
      <c r="T644" s="30" t="str">
        <f>IFERROR(VLOOKUP(O644, '[1]CURSOS 2025'!A:B, 2, FALSE), "")</f>
        <v/>
      </c>
      <c r="U644" s="39">
        <f t="shared" si="98"/>
        <v>0</v>
      </c>
    </row>
    <row r="645" spans="1:22" s="40" customFormat="1" ht="39.950000000000003" customHeight="1" thickBot="1" x14ac:dyDescent="0.35">
      <c r="A645" s="30">
        <f t="array" ref="A645">IF(B645&lt;&gt;"",COUNTIF($B$19:B645,"&lt;&gt;"),"")</f>
        <v>573</v>
      </c>
      <c r="B645" s="41">
        <v>846</v>
      </c>
      <c r="C645" s="42" t="s">
        <v>1377</v>
      </c>
      <c r="D645" s="43" t="s">
        <v>1415</v>
      </c>
      <c r="E645" s="42" t="s">
        <v>1416</v>
      </c>
      <c r="F645" s="49" t="s">
        <v>1417</v>
      </c>
      <c r="G645" s="36" t="s">
        <v>1418</v>
      </c>
      <c r="H645" s="44"/>
      <c r="I645" s="44"/>
      <c r="J645" s="44"/>
      <c r="K645" s="44" t="s">
        <v>231</v>
      </c>
      <c r="L645" s="44" t="s">
        <v>231</v>
      </c>
      <c r="M645" s="44" t="s">
        <v>231</v>
      </c>
      <c r="N645" s="36" t="s">
        <v>1537</v>
      </c>
      <c r="O645" s="36" t="s">
        <v>1708</v>
      </c>
      <c r="P645" s="45">
        <v>46072</v>
      </c>
      <c r="Q645" s="45">
        <v>46072</v>
      </c>
      <c r="R645" s="44">
        <v>2</v>
      </c>
      <c r="S645" s="46" t="s">
        <v>37</v>
      </c>
      <c r="T645" s="30" t="s">
        <v>234</v>
      </c>
      <c r="U645" s="221">
        <f>SUM(R645:R647)</f>
        <v>72</v>
      </c>
    </row>
    <row r="646" spans="1:22" s="40" customFormat="1" ht="39.950000000000003" customHeight="1" thickBot="1" x14ac:dyDescent="0.35">
      <c r="A646" s="30"/>
      <c r="B646" s="41"/>
      <c r="C646" s="42"/>
      <c r="D646" s="43"/>
      <c r="E646" s="42"/>
      <c r="F646" s="49"/>
      <c r="G646" s="36"/>
      <c r="H646" s="44"/>
      <c r="I646" s="44"/>
      <c r="J646" s="44"/>
      <c r="K646" s="44" t="s">
        <v>231</v>
      </c>
      <c r="L646" s="44" t="s">
        <v>231</v>
      </c>
      <c r="M646" s="44" t="s">
        <v>231</v>
      </c>
      <c r="N646" s="36" t="s">
        <v>232</v>
      </c>
      <c r="O646" s="36" t="s">
        <v>2326</v>
      </c>
      <c r="P646" s="45">
        <v>46168</v>
      </c>
      <c r="Q646" s="45">
        <v>46168</v>
      </c>
      <c r="R646" s="44">
        <v>40</v>
      </c>
      <c r="S646" s="46" t="s">
        <v>37</v>
      </c>
      <c r="T646" s="30" t="s">
        <v>234</v>
      </c>
      <c r="U646" s="222"/>
    </row>
    <row r="647" spans="1:22" s="40" customFormat="1" ht="39.950000000000003" customHeight="1" thickBot="1" x14ac:dyDescent="0.35">
      <c r="A647" s="30"/>
      <c r="B647" s="41"/>
      <c r="C647" s="42"/>
      <c r="D647" s="43"/>
      <c r="E647" s="42"/>
      <c r="F647" s="49"/>
      <c r="G647" s="36"/>
      <c r="H647" s="44"/>
      <c r="I647" s="44"/>
      <c r="J647" s="44"/>
      <c r="K647" s="44" t="s">
        <v>231</v>
      </c>
      <c r="L647" s="44" t="s">
        <v>231</v>
      </c>
      <c r="M647" s="44" t="s">
        <v>231</v>
      </c>
      <c r="N647" s="36" t="s">
        <v>232</v>
      </c>
      <c r="O647" s="36" t="s">
        <v>2327</v>
      </c>
      <c r="P647" s="45">
        <v>46168</v>
      </c>
      <c r="Q647" s="45">
        <v>46168</v>
      </c>
      <c r="R647" s="44">
        <v>30</v>
      </c>
      <c r="S647" s="46" t="s">
        <v>37</v>
      </c>
      <c r="T647" s="30" t="s">
        <v>234</v>
      </c>
      <c r="U647" s="223"/>
    </row>
    <row r="648" spans="1:22" s="40" customFormat="1" ht="39.950000000000003" customHeight="1" thickBot="1" x14ac:dyDescent="0.35">
      <c r="A648" s="30">
        <f t="array" ref="A648">IF(B648&lt;&gt;"",COUNTIF($B$19:B648,"&lt;&gt;"),"")</f>
        <v>574</v>
      </c>
      <c r="B648" s="41">
        <v>846</v>
      </c>
      <c r="C648" s="42" t="s">
        <v>38</v>
      </c>
      <c r="D648" s="43" t="s">
        <v>1419</v>
      </c>
      <c r="E648" s="42" t="s">
        <v>1420</v>
      </c>
      <c r="F648" s="49" t="s">
        <v>1398</v>
      </c>
      <c r="G648" s="36" t="s">
        <v>1421</v>
      </c>
      <c r="H648" s="44"/>
      <c r="I648" s="44"/>
      <c r="J648" s="44"/>
      <c r="K648" s="44"/>
      <c r="L648" s="44"/>
      <c r="M648" s="44"/>
      <c r="N648" s="36"/>
      <c r="O648" s="36"/>
      <c r="P648" s="45"/>
      <c r="Q648" s="45"/>
      <c r="R648" s="44"/>
      <c r="S648" s="46" t="s">
        <v>33</v>
      </c>
      <c r="T648" s="30" t="str">
        <f>IFERROR(VLOOKUP(O648, '[1]CURSOS 2025'!A:B, 2, FALSE), "")</f>
        <v/>
      </c>
      <c r="U648" s="39">
        <f t="shared" si="98"/>
        <v>0</v>
      </c>
    </row>
    <row r="649" spans="1:22" s="40" customFormat="1" ht="60" customHeight="1" thickBot="1" x14ac:dyDescent="0.35">
      <c r="A649" s="30">
        <f t="array" ref="A649">IF(B649&lt;&gt;"",COUNTIF($B$19:B649,"&lt;&gt;"),"")</f>
        <v>575</v>
      </c>
      <c r="B649" s="41">
        <v>846</v>
      </c>
      <c r="C649" s="42" t="s">
        <v>177</v>
      </c>
      <c r="D649" s="43" t="s">
        <v>1422</v>
      </c>
      <c r="E649" s="42" t="s">
        <v>1423</v>
      </c>
      <c r="F649" s="49" t="s">
        <v>1398</v>
      </c>
      <c r="G649" s="36" t="s">
        <v>1424</v>
      </c>
      <c r="H649" s="44"/>
      <c r="I649" s="44"/>
      <c r="J649" s="44"/>
      <c r="K649" s="44" t="s">
        <v>231</v>
      </c>
      <c r="L649" s="44" t="s">
        <v>231</v>
      </c>
      <c r="M649" s="44" t="s">
        <v>231</v>
      </c>
      <c r="N649" s="36" t="s">
        <v>232</v>
      </c>
      <c r="O649" s="36" t="s">
        <v>2296</v>
      </c>
      <c r="P649" s="45">
        <v>46106</v>
      </c>
      <c r="Q649" s="45">
        <v>46106</v>
      </c>
      <c r="R649" s="44">
        <v>8</v>
      </c>
      <c r="S649" s="46" t="s">
        <v>33</v>
      </c>
      <c r="T649" s="30" t="s">
        <v>234</v>
      </c>
      <c r="U649" s="39">
        <f t="shared" si="98"/>
        <v>8</v>
      </c>
    </row>
    <row r="650" spans="1:22" s="40" customFormat="1" ht="60" customHeight="1" thickBot="1" x14ac:dyDescent="0.35">
      <c r="A650" s="30">
        <f t="array" ref="A650">IF(B650&lt;&gt;"",COUNTIF($B$19:B650,"&lt;&gt;"),"")</f>
        <v>576</v>
      </c>
      <c r="B650" s="41">
        <v>846</v>
      </c>
      <c r="C650" s="42" t="s">
        <v>45</v>
      </c>
      <c r="D650" s="43" t="s">
        <v>1425</v>
      </c>
      <c r="E650" s="42" t="s">
        <v>1426</v>
      </c>
      <c r="F650" s="49" t="s">
        <v>1417</v>
      </c>
      <c r="G650" s="36" t="s">
        <v>1427</v>
      </c>
      <c r="H650" s="44"/>
      <c r="I650" s="44"/>
      <c r="J650" s="44"/>
      <c r="K650" s="44" t="s">
        <v>231</v>
      </c>
      <c r="L650" s="44" t="s">
        <v>231</v>
      </c>
      <c r="M650" s="44" t="s">
        <v>231</v>
      </c>
      <c r="N650" s="36" t="s">
        <v>232</v>
      </c>
      <c r="O650" s="36" t="s">
        <v>233</v>
      </c>
      <c r="P650" s="45">
        <v>46163</v>
      </c>
      <c r="Q650" s="45">
        <v>46163</v>
      </c>
      <c r="R650" s="44">
        <v>40</v>
      </c>
      <c r="S650" s="46" t="s">
        <v>33</v>
      </c>
      <c r="T650" s="30" t="s">
        <v>234</v>
      </c>
      <c r="U650" s="39">
        <f t="shared" si="98"/>
        <v>40</v>
      </c>
    </row>
    <row r="651" spans="1:22" s="40" customFormat="1" ht="39.950000000000003" customHeight="1" thickBot="1" x14ac:dyDescent="0.35">
      <c r="A651" s="30">
        <f t="array" ref="A651">IF(B651&lt;&gt;"",COUNTIF($B$19:B651,"&lt;&gt;"),"")</f>
        <v>577</v>
      </c>
      <c r="B651" s="41">
        <v>846</v>
      </c>
      <c r="C651" s="42" t="s">
        <v>38</v>
      </c>
      <c r="D651" s="43" t="s">
        <v>1428</v>
      </c>
      <c r="E651" s="42" t="s">
        <v>1429</v>
      </c>
      <c r="F651" s="49" t="s">
        <v>1417</v>
      </c>
      <c r="G651" s="36" t="s">
        <v>1430</v>
      </c>
      <c r="H651" s="44"/>
      <c r="I651" s="44"/>
      <c r="J651" s="44"/>
      <c r="K651" s="44"/>
      <c r="L651" s="44"/>
      <c r="M651" s="44"/>
      <c r="N651" s="36"/>
      <c r="O651" s="36"/>
      <c r="P651" s="45"/>
      <c r="Q651" s="45"/>
      <c r="R651" s="44"/>
      <c r="S651" s="46" t="s">
        <v>37</v>
      </c>
      <c r="T651" s="30" t="str">
        <f>IFERROR(VLOOKUP(O651, '[1]CURSOS 2025'!A:B, 2, FALSE), "")</f>
        <v/>
      </c>
      <c r="U651" s="39">
        <f t="shared" si="98"/>
        <v>0</v>
      </c>
    </row>
    <row r="652" spans="1:22" s="40" customFormat="1" ht="39.950000000000003" customHeight="1" thickBot="1" x14ac:dyDescent="0.35">
      <c r="A652" s="30">
        <f t="array" ref="A652">IF(B652&lt;&gt;"",COUNTIF($B$19:B652,"&lt;&gt;"),"")</f>
        <v>578</v>
      </c>
      <c r="B652" s="41">
        <v>846</v>
      </c>
      <c r="C652" s="42" t="s">
        <v>34</v>
      </c>
      <c r="D652" s="43" t="s">
        <v>1431</v>
      </c>
      <c r="E652" s="42" t="s">
        <v>1432</v>
      </c>
      <c r="F652" s="49" t="s">
        <v>1417</v>
      </c>
      <c r="G652" s="36" t="s">
        <v>1433</v>
      </c>
      <c r="H652" s="44"/>
      <c r="I652" s="44"/>
      <c r="J652" s="44"/>
      <c r="K652" s="44" t="s">
        <v>231</v>
      </c>
      <c r="L652" s="44" t="s">
        <v>231</v>
      </c>
      <c r="M652" s="44" t="s">
        <v>231</v>
      </c>
      <c r="N652" s="36" t="s">
        <v>1537</v>
      </c>
      <c r="O652" s="36" t="s">
        <v>1713</v>
      </c>
      <c r="P652" s="45">
        <v>46069</v>
      </c>
      <c r="Q652" s="45">
        <v>46069</v>
      </c>
      <c r="R652" s="44">
        <v>2</v>
      </c>
      <c r="S652" s="46" t="s">
        <v>37</v>
      </c>
      <c r="T652" s="30" t="s">
        <v>234</v>
      </c>
      <c r="U652" s="221">
        <f>SUM(R652:R654)</f>
        <v>6</v>
      </c>
    </row>
    <row r="653" spans="1:22" s="40" customFormat="1" ht="39.950000000000003" customHeight="1" thickBot="1" x14ac:dyDescent="0.35">
      <c r="A653" s="30" t="str">
        <f t="array" ref="A653">IF(B653&lt;&gt;"",COUNTIF($B$19:B653,"&lt;&gt;"),"")</f>
        <v/>
      </c>
      <c r="B653" s="41"/>
      <c r="C653" s="42"/>
      <c r="D653" s="43"/>
      <c r="E653" s="42"/>
      <c r="F653" s="49"/>
      <c r="G653" s="36"/>
      <c r="H653" s="44"/>
      <c r="I653" s="44"/>
      <c r="J653" s="44"/>
      <c r="K653" s="44" t="s">
        <v>231</v>
      </c>
      <c r="L653" s="44" t="s">
        <v>231</v>
      </c>
      <c r="M653" s="44" t="s">
        <v>231</v>
      </c>
      <c r="N653" s="36" t="s">
        <v>1537</v>
      </c>
      <c r="O653" s="36" t="s">
        <v>1715</v>
      </c>
      <c r="P653" s="45">
        <v>46071</v>
      </c>
      <c r="Q653" s="45">
        <v>46071</v>
      </c>
      <c r="R653" s="44">
        <v>2</v>
      </c>
      <c r="S653" s="46" t="s">
        <v>37</v>
      </c>
      <c r="T653" s="30" t="s">
        <v>234</v>
      </c>
      <c r="U653" s="222"/>
    </row>
    <row r="654" spans="1:22" s="40" customFormat="1" ht="39.950000000000003" customHeight="1" thickBot="1" x14ac:dyDescent="0.35">
      <c r="A654" s="30" t="str">
        <f t="array" ref="A654">IF(B654&lt;&gt;"",COUNTIF($B$19:B654,"&lt;&gt;"),"")</f>
        <v/>
      </c>
      <c r="B654" s="41"/>
      <c r="C654" s="42"/>
      <c r="D654" s="43"/>
      <c r="E654" s="42"/>
      <c r="F654" s="49"/>
      <c r="G654" s="36"/>
      <c r="H654" s="44"/>
      <c r="I654" s="44"/>
      <c r="J654" s="44"/>
      <c r="K654" s="44" t="s">
        <v>231</v>
      </c>
      <c r="L654" s="44" t="s">
        <v>231</v>
      </c>
      <c r="M654" s="44" t="s">
        <v>231</v>
      </c>
      <c r="N654" s="36" t="s">
        <v>1537</v>
      </c>
      <c r="O654" s="36" t="s">
        <v>1716</v>
      </c>
      <c r="P654" s="45">
        <v>46071</v>
      </c>
      <c r="Q654" s="45">
        <v>46071</v>
      </c>
      <c r="R654" s="44">
        <v>2</v>
      </c>
      <c r="S654" s="46" t="s">
        <v>37</v>
      </c>
      <c r="T654" s="30" t="s">
        <v>234</v>
      </c>
      <c r="U654" s="223"/>
    </row>
    <row r="655" spans="1:22" s="40" customFormat="1" ht="39.950000000000003" customHeight="1" thickBot="1" x14ac:dyDescent="0.35">
      <c r="A655" s="30">
        <f t="array" ref="A655">IF(B655&lt;&gt;"",COUNTIF($B$19:B655,"&lt;&gt;"),"")</f>
        <v>579</v>
      </c>
      <c r="B655" s="41">
        <v>846</v>
      </c>
      <c r="C655" s="42" t="s">
        <v>34</v>
      </c>
      <c r="D655" s="43" t="s">
        <v>1434</v>
      </c>
      <c r="E655" s="42" t="s">
        <v>1435</v>
      </c>
      <c r="F655" s="49" t="s">
        <v>1417</v>
      </c>
      <c r="G655" s="36" t="s">
        <v>1436</v>
      </c>
      <c r="H655" s="44"/>
      <c r="I655" s="44"/>
      <c r="J655" s="44"/>
      <c r="K655" s="44"/>
      <c r="L655" s="44"/>
      <c r="M655" s="44"/>
      <c r="N655" s="36"/>
      <c r="O655" s="36"/>
      <c r="P655" s="45"/>
      <c r="Q655" s="45"/>
      <c r="R655" s="44"/>
      <c r="S655" s="46" t="s">
        <v>37</v>
      </c>
      <c r="T655" s="30" t="str">
        <f>IFERROR(VLOOKUP(O655, '[1]CURSOS 2025'!A:B, 2, FALSE), "")</f>
        <v/>
      </c>
      <c r="U655" s="39">
        <f t="shared" si="98"/>
        <v>0</v>
      </c>
    </row>
    <row r="656" spans="1:22" s="40" customFormat="1" ht="39.950000000000003" customHeight="1" thickBot="1" x14ac:dyDescent="0.35">
      <c r="A656" s="30">
        <f t="array" ref="A656">IF(B656&lt;&gt;"",COUNTIF($B$19:B656,"&lt;&gt;"),"")</f>
        <v>580</v>
      </c>
      <c r="B656" s="41">
        <v>846</v>
      </c>
      <c r="C656" s="42" t="s">
        <v>45</v>
      </c>
      <c r="D656" s="43" t="s">
        <v>1726</v>
      </c>
      <c r="E656" s="42" t="s">
        <v>1727</v>
      </c>
      <c r="F656" s="49" t="s">
        <v>1417</v>
      </c>
      <c r="G656" s="36"/>
      <c r="H656" s="44" t="s">
        <v>231</v>
      </c>
      <c r="I656" s="44" t="s">
        <v>231</v>
      </c>
      <c r="J656" s="44" t="s">
        <v>231</v>
      </c>
      <c r="K656" s="44"/>
      <c r="L656" s="44"/>
      <c r="M656" s="44"/>
      <c r="N656" s="36" t="s">
        <v>1722</v>
      </c>
      <c r="O656" s="36" t="s">
        <v>1721</v>
      </c>
      <c r="P656" s="45">
        <v>46106</v>
      </c>
      <c r="Q656" s="45">
        <v>46106</v>
      </c>
      <c r="R656" s="44">
        <v>1</v>
      </c>
      <c r="S656" s="46" t="s">
        <v>33</v>
      </c>
      <c r="T656" s="30" t="s">
        <v>234</v>
      </c>
      <c r="U656" s="221">
        <f>SUM(R656:R659)</f>
        <v>4</v>
      </c>
    </row>
    <row r="657" spans="1:21" s="40" customFormat="1" ht="39.950000000000003" customHeight="1" thickBot="1" x14ac:dyDescent="0.35">
      <c r="A657" s="30" t="str">
        <f t="array" ref="A657">IF(B657&lt;&gt;"",COUNTIF($B$19:B657,"&lt;&gt;"),"")</f>
        <v/>
      </c>
      <c r="B657" s="41"/>
      <c r="C657" s="42"/>
      <c r="D657" s="43"/>
      <c r="E657" s="42"/>
      <c r="F657" s="49"/>
      <c r="G657" s="36"/>
      <c r="H657" s="44" t="s">
        <v>231</v>
      </c>
      <c r="I657" s="44" t="s">
        <v>231</v>
      </c>
      <c r="J657" s="44" t="s">
        <v>231</v>
      </c>
      <c r="K657" s="44"/>
      <c r="L657" s="44"/>
      <c r="M657" s="44"/>
      <c r="N657" s="36" t="s">
        <v>1722</v>
      </c>
      <c r="O657" s="36" t="s">
        <v>1724</v>
      </c>
      <c r="P657" s="45">
        <v>46106</v>
      </c>
      <c r="Q657" s="45">
        <v>46106</v>
      </c>
      <c r="R657" s="44">
        <v>1</v>
      </c>
      <c r="S657" s="46" t="s">
        <v>33</v>
      </c>
      <c r="T657" s="30" t="s">
        <v>234</v>
      </c>
      <c r="U657" s="222"/>
    </row>
    <row r="658" spans="1:21" s="40" customFormat="1" ht="39.950000000000003" customHeight="1" thickBot="1" x14ac:dyDescent="0.35">
      <c r="A658" s="30" t="str">
        <f t="array" ref="A658">IF(B658&lt;&gt;"",COUNTIF($B$19:B658,"&lt;&gt;"),"")</f>
        <v/>
      </c>
      <c r="B658" s="41"/>
      <c r="C658" s="42"/>
      <c r="D658" s="43"/>
      <c r="E658" s="42"/>
      <c r="F658" s="49"/>
      <c r="G658" s="36"/>
      <c r="H658" s="44" t="s">
        <v>231</v>
      </c>
      <c r="I658" s="44" t="s">
        <v>231</v>
      </c>
      <c r="J658" s="44" t="s">
        <v>231</v>
      </c>
      <c r="K658" s="44"/>
      <c r="L658" s="44"/>
      <c r="M658" s="44"/>
      <c r="N658" s="36" t="s">
        <v>1722</v>
      </c>
      <c r="O658" s="36" t="s">
        <v>1725</v>
      </c>
      <c r="P658" s="45">
        <v>46106</v>
      </c>
      <c r="Q658" s="45">
        <v>46106</v>
      </c>
      <c r="R658" s="44">
        <v>1</v>
      </c>
      <c r="S658" s="46" t="s">
        <v>33</v>
      </c>
      <c r="T658" s="30" t="s">
        <v>234</v>
      </c>
      <c r="U658" s="222"/>
    </row>
    <row r="659" spans="1:21" s="40" customFormat="1" ht="39.950000000000003" customHeight="1" thickBot="1" x14ac:dyDescent="0.35">
      <c r="A659" s="30"/>
      <c r="B659" s="41"/>
      <c r="C659" s="42"/>
      <c r="D659" s="43"/>
      <c r="E659" s="42"/>
      <c r="F659" s="49"/>
      <c r="G659" s="36"/>
      <c r="H659" s="44" t="s">
        <v>231</v>
      </c>
      <c r="I659" s="44" t="s">
        <v>231</v>
      </c>
      <c r="J659" s="44" t="s">
        <v>231</v>
      </c>
      <c r="K659" s="44"/>
      <c r="L659" s="44"/>
      <c r="M659" s="44"/>
      <c r="N659" s="36" t="s">
        <v>1722</v>
      </c>
      <c r="O659" s="36" t="s">
        <v>2315</v>
      </c>
      <c r="P659" s="45">
        <v>46125</v>
      </c>
      <c r="Q659" s="45">
        <v>46125</v>
      </c>
      <c r="R659" s="44">
        <v>1</v>
      </c>
      <c r="S659" s="46" t="s">
        <v>33</v>
      </c>
      <c r="T659" s="30" t="s">
        <v>234</v>
      </c>
      <c r="U659" s="223"/>
    </row>
    <row r="660" spans="1:21" s="40" customFormat="1" ht="39.950000000000003" customHeight="1" thickBot="1" x14ac:dyDescent="0.35">
      <c r="A660" s="30">
        <f t="array" ref="A660">IF(B660&lt;&gt;"",COUNTIF($B$19:B660,"&lt;&gt;"),"")</f>
        <v>581</v>
      </c>
      <c r="B660" s="41">
        <v>846</v>
      </c>
      <c r="C660" s="42" t="s">
        <v>45</v>
      </c>
      <c r="D660" s="43" t="s">
        <v>1437</v>
      </c>
      <c r="E660" s="42" t="s">
        <v>1438</v>
      </c>
      <c r="F660" s="49" t="s">
        <v>1417</v>
      </c>
      <c r="G660" s="36" t="s">
        <v>1439</v>
      </c>
      <c r="H660" s="44"/>
      <c r="I660" s="44"/>
      <c r="J660" s="44"/>
      <c r="K660" s="44"/>
      <c r="L660" s="44"/>
      <c r="M660" s="44"/>
      <c r="N660" s="36"/>
      <c r="O660" s="36"/>
      <c r="P660" s="45"/>
      <c r="Q660" s="45"/>
      <c r="R660" s="44"/>
      <c r="S660" s="46" t="s">
        <v>37</v>
      </c>
      <c r="T660" s="30" t="str">
        <f>IFERROR(VLOOKUP(O660, '[1]CURSOS 2025'!A:B, 2, FALSE), "")</f>
        <v/>
      </c>
      <c r="U660" s="39">
        <f t="shared" si="98"/>
        <v>0</v>
      </c>
    </row>
    <row r="661" spans="1:21" s="40" customFormat="1" ht="39.950000000000003" customHeight="1" thickBot="1" x14ac:dyDescent="0.35">
      <c r="A661" s="30">
        <f t="array" ref="A661">IF(B661&lt;&gt;"",COUNTIF($B$19:B661,"&lt;&gt;"),"")</f>
        <v>582</v>
      </c>
      <c r="B661" s="41">
        <v>846</v>
      </c>
      <c r="C661" s="42" t="s">
        <v>45</v>
      </c>
      <c r="D661" s="43" t="s">
        <v>1440</v>
      </c>
      <c r="E661" s="42" t="s">
        <v>1441</v>
      </c>
      <c r="F661" s="49" t="s">
        <v>1417</v>
      </c>
      <c r="G661" s="36" t="s">
        <v>1442</v>
      </c>
      <c r="H661" s="44"/>
      <c r="I661" s="44"/>
      <c r="J661" s="44"/>
      <c r="K661" s="44"/>
      <c r="L661" s="44"/>
      <c r="M661" s="44"/>
      <c r="N661" s="36"/>
      <c r="O661" s="36"/>
      <c r="P661" s="45"/>
      <c r="Q661" s="45"/>
      <c r="R661" s="44"/>
      <c r="S661" s="44" t="s">
        <v>37</v>
      </c>
      <c r="T661" s="30" t="str">
        <f>IFERROR(VLOOKUP(O661, '[1]CURSOS 2025'!A:B, 2, FALSE), "")</f>
        <v/>
      </c>
      <c r="U661" s="48">
        <f t="shared" ref="U661" si="99">SUM(R661)</f>
        <v>0</v>
      </c>
    </row>
    <row r="662" spans="1:21" s="40" customFormat="1" ht="39.950000000000003" customHeight="1" thickBot="1" x14ac:dyDescent="0.35">
      <c r="A662" s="30">
        <f t="array" ref="A662">IF(B662&lt;&gt;"",COUNTIF($B$19:B662,"&lt;&gt;"),"")</f>
        <v>583</v>
      </c>
      <c r="B662" s="41">
        <v>846</v>
      </c>
      <c r="C662" s="42" t="s">
        <v>45</v>
      </c>
      <c r="D662" s="43" t="s">
        <v>1443</v>
      </c>
      <c r="E662" s="42" t="s">
        <v>1444</v>
      </c>
      <c r="F662" s="49" t="s">
        <v>1417</v>
      </c>
      <c r="G662" s="36" t="s">
        <v>1445</v>
      </c>
      <c r="H662" s="44"/>
      <c r="I662" s="44"/>
      <c r="J662" s="44"/>
      <c r="K662" s="216" t="s">
        <v>231</v>
      </c>
      <c r="L662" s="214" t="s">
        <v>231</v>
      </c>
      <c r="M662" s="214" t="s">
        <v>231</v>
      </c>
      <c r="N662" s="217" t="s">
        <v>1537</v>
      </c>
      <c r="O662" s="217" t="s">
        <v>2309</v>
      </c>
      <c r="P662" s="213"/>
      <c r="Q662" s="213">
        <v>46127</v>
      </c>
      <c r="R662" s="214">
        <v>2</v>
      </c>
      <c r="S662" s="46" t="s">
        <v>37</v>
      </c>
      <c r="T662" s="30" t="s">
        <v>234</v>
      </c>
      <c r="U662" s="221">
        <f>SUM(R662:R663)</f>
        <v>12</v>
      </c>
    </row>
    <row r="663" spans="1:21" s="40" customFormat="1" ht="39.950000000000003" customHeight="1" thickBot="1" x14ac:dyDescent="0.35">
      <c r="A663" s="30"/>
      <c r="B663" s="41"/>
      <c r="C663" s="42"/>
      <c r="D663" s="43"/>
      <c r="E663" s="42"/>
      <c r="F663" s="49"/>
      <c r="G663" s="36"/>
      <c r="H663" s="44"/>
      <c r="I663" s="44"/>
      <c r="J663" s="44"/>
      <c r="K663" s="216" t="s">
        <v>231</v>
      </c>
      <c r="L663" s="214" t="s">
        <v>231</v>
      </c>
      <c r="M663" s="214" t="s">
        <v>231</v>
      </c>
      <c r="N663" s="217" t="s">
        <v>232</v>
      </c>
      <c r="O663" s="217" t="s">
        <v>2320</v>
      </c>
      <c r="P663" s="213">
        <v>46136</v>
      </c>
      <c r="Q663" s="213">
        <v>46136</v>
      </c>
      <c r="R663" s="214">
        <v>10</v>
      </c>
      <c r="S663" s="46" t="s">
        <v>37</v>
      </c>
      <c r="T663" s="30" t="s">
        <v>234</v>
      </c>
      <c r="U663" s="223"/>
    </row>
    <row r="664" spans="1:21" s="40" customFormat="1" ht="39.950000000000003" customHeight="1" thickBot="1" x14ac:dyDescent="0.35">
      <c r="A664" s="30">
        <f t="array" ref="A664">IF(B664&lt;&gt;"",COUNTIF($B$19:B664,"&lt;&gt;"),"")</f>
        <v>584</v>
      </c>
      <c r="B664" s="41">
        <v>846</v>
      </c>
      <c r="C664" s="42" t="s">
        <v>45</v>
      </c>
      <c r="D664" s="43" t="s">
        <v>1446</v>
      </c>
      <c r="E664" s="42" t="s">
        <v>1447</v>
      </c>
      <c r="F664" s="49" t="s">
        <v>1417</v>
      </c>
      <c r="G664" s="36" t="s">
        <v>1448</v>
      </c>
      <c r="H664" s="44"/>
      <c r="I664" s="44"/>
      <c r="J664" s="44"/>
      <c r="K664" s="44"/>
      <c r="L664" s="44"/>
      <c r="M664" s="44"/>
      <c r="N664" s="36"/>
      <c r="O664" s="36"/>
      <c r="P664" s="45"/>
      <c r="Q664" s="45"/>
      <c r="R664" s="44"/>
      <c r="S664" s="46" t="s">
        <v>33</v>
      </c>
      <c r="T664" s="30" t="str">
        <f>IFERROR(VLOOKUP(O664, '[1]CURSOS 2025'!A:B, 2, FALSE), "")</f>
        <v/>
      </c>
      <c r="U664" s="39">
        <f t="shared" ref="U664:U678" si="100">SUM(R664:R664)</f>
        <v>0</v>
      </c>
    </row>
    <row r="665" spans="1:21" s="40" customFormat="1" ht="39.950000000000003" customHeight="1" thickBot="1" x14ac:dyDescent="0.35">
      <c r="A665" s="30">
        <f t="array" ref="A665">IF(B665&lt;&gt;"",COUNTIF($B$19:B665,"&lt;&gt;"),"")</f>
        <v>585</v>
      </c>
      <c r="B665" s="41">
        <v>846</v>
      </c>
      <c r="C665" s="42" t="s">
        <v>45</v>
      </c>
      <c r="D665" s="43" t="s">
        <v>1449</v>
      </c>
      <c r="E665" s="42" t="s">
        <v>1450</v>
      </c>
      <c r="F665" s="49" t="s">
        <v>1417</v>
      </c>
      <c r="G665" s="36" t="s">
        <v>1451</v>
      </c>
      <c r="H665" s="44"/>
      <c r="I665" s="44"/>
      <c r="J665" s="44"/>
      <c r="K665" s="44"/>
      <c r="L665" s="44"/>
      <c r="M665" s="44"/>
      <c r="N665" s="36"/>
      <c r="O665" s="36"/>
      <c r="P665" s="45"/>
      <c r="Q665" s="45"/>
      <c r="R665" s="44"/>
      <c r="S665" s="46" t="s">
        <v>37</v>
      </c>
      <c r="T665" s="30" t="str">
        <f>IFERROR(VLOOKUP(O665, '[1]CURSOS 2025'!A:B, 2, FALSE), "")</f>
        <v/>
      </c>
      <c r="U665" s="39">
        <f t="shared" si="100"/>
        <v>0</v>
      </c>
    </row>
    <row r="666" spans="1:21" s="40" customFormat="1" ht="39.950000000000003" customHeight="1" thickBot="1" x14ac:dyDescent="0.35">
      <c r="A666" s="30">
        <f t="array" ref="A666">IF(B666&lt;&gt;"",COUNTIF($B$19:B666,"&lt;&gt;"),"")</f>
        <v>586</v>
      </c>
      <c r="B666" s="41">
        <v>846</v>
      </c>
      <c r="C666" s="42" t="s">
        <v>38</v>
      </c>
      <c r="D666" s="43" t="s">
        <v>1452</v>
      </c>
      <c r="E666" s="42" t="s">
        <v>1453</v>
      </c>
      <c r="F666" s="49" t="s">
        <v>1417</v>
      </c>
      <c r="G666" s="36" t="s">
        <v>1454</v>
      </c>
      <c r="H666" s="44"/>
      <c r="I666" s="44"/>
      <c r="J666" s="44"/>
      <c r="K666" s="44" t="s">
        <v>231</v>
      </c>
      <c r="L666" s="44" t="s">
        <v>231</v>
      </c>
      <c r="M666" s="44" t="s">
        <v>231</v>
      </c>
      <c r="N666" s="36" t="s">
        <v>1537</v>
      </c>
      <c r="O666" s="36" t="s">
        <v>1708</v>
      </c>
      <c r="P666" s="45">
        <v>46072</v>
      </c>
      <c r="Q666" s="45">
        <v>46072</v>
      </c>
      <c r="R666" s="44">
        <v>2</v>
      </c>
      <c r="S666" s="46" t="s">
        <v>33</v>
      </c>
      <c r="T666" s="30" t="s">
        <v>234</v>
      </c>
      <c r="U666" s="39">
        <f t="shared" si="100"/>
        <v>2</v>
      </c>
    </row>
    <row r="667" spans="1:21" s="40" customFormat="1" ht="39.950000000000003" customHeight="1" thickBot="1" x14ac:dyDescent="0.35">
      <c r="A667" s="30">
        <f t="array" ref="A667">IF(B667&lt;&gt;"",COUNTIF($B$19:B667,"&lt;&gt;"),"")</f>
        <v>587</v>
      </c>
      <c r="B667" s="41">
        <v>846</v>
      </c>
      <c r="C667" s="42" t="s">
        <v>1455</v>
      </c>
      <c r="D667" s="43" t="s">
        <v>1456</v>
      </c>
      <c r="E667" s="42" t="s">
        <v>1457</v>
      </c>
      <c r="F667" s="49" t="s">
        <v>1417</v>
      </c>
      <c r="G667" s="36" t="s">
        <v>1458</v>
      </c>
      <c r="H667" s="44"/>
      <c r="I667" s="44"/>
      <c r="J667" s="44"/>
      <c r="K667" s="44"/>
      <c r="L667" s="44"/>
      <c r="M667" s="44"/>
      <c r="N667" s="36"/>
      <c r="O667" s="36"/>
      <c r="P667" s="45"/>
      <c r="Q667" s="45"/>
      <c r="R667" s="44"/>
      <c r="S667" s="46" t="s">
        <v>37</v>
      </c>
      <c r="T667" s="30" t="str">
        <f>IFERROR(VLOOKUP(O667, '[1]CURSOS 2025'!A:B, 2, FALSE), "")</f>
        <v/>
      </c>
      <c r="U667" s="39">
        <f t="shared" si="100"/>
        <v>0</v>
      </c>
    </row>
    <row r="668" spans="1:21" s="40" customFormat="1" ht="39.950000000000003" customHeight="1" thickBot="1" x14ac:dyDescent="0.35">
      <c r="A668" s="30">
        <f t="array" ref="A668">IF(B668&lt;&gt;"",COUNTIF($B$19:B668,"&lt;&gt;"),"")</f>
        <v>588</v>
      </c>
      <c r="B668" s="41">
        <v>846</v>
      </c>
      <c r="C668" s="42" t="s">
        <v>1455</v>
      </c>
      <c r="D668" s="43" t="s">
        <v>1459</v>
      </c>
      <c r="E668" s="42" t="s">
        <v>1460</v>
      </c>
      <c r="F668" s="49" t="s">
        <v>1417</v>
      </c>
      <c r="G668" s="36" t="s">
        <v>1461</v>
      </c>
      <c r="H668" s="44"/>
      <c r="I668" s="44"/>
      <c r="J668" s="44"/>
      <c r="K668" s="44"/>
      <c r="L668" s="44"/>
      <c r="M668" s="44"/>
      <c r="N668" s="36"/>
      <c r="O668" s="36"/>
      <c r="P668" s="45"/>
      <c r="Q668" s="45"/>
      <c r="R668" s="44"/>
      <c r="S668" s="46" t="s">
        <v>33</v>
      </c>
      <c r="T668" s="30" t="str">
        <f>IFERROR(VLOOKUP(O668, '[1]CURSOS 2025'!A:B, 2, FALSE), "")</f>
        <v/>
      </c>
      <c r="U668" s="39">
        <f t="shared" si="100"/>
        <v>0</v>
      </c>
    </row>
    <row r="669" spans="1:21" s="40" customFormat="1" ht="60" customHeight="1" thickBot="1" x14ac:dyDescent="0.35">
      <c r="A669" s="30">
        <f t="array" ref="A669">IF(B669&lt;&gt;"",COUNTIF($B$19:B669,"&lt;&gt;"),"")</f>
        <v>589</v>
      </c>
      <c r="B669" s="41">
        <v>846</v>
      </c>
      <c r="C669" s="42" t="s">
        <v>45</v>
      </c>
      <c r="D669" s="43" t="s">
        <v>1462</v>
      </c>
      <c r="E669" s="42" t="s">
        <v>1463</v>
      </c>
      <c r="F669" s="49" t="s">
        <v>1417</v>
      </c>
      <c r="G669" s="36" t="s">
        <v>1464</v>
      </c>
      <c r="H669" s="44"/>
      <c r="I669" s="44"/>
      <c r="J669" s="44"/>
      <c r="K669" s="44"/>
      <c r="L669" s="44"/>
      <c r="M669" s="44"/>
      <c r="N669" s="36"/>
      <c r="O669" s="36"/>
      <c r="P669" s="45"/>
      <c r="Q669" s="45"/>
      <c r="R669" s="44"/>
      <c r="S669" s="46" t="s">
        <v>33</v>
      </c>
      <c r="T669" s="30" t="str">
        <f>IFERROR(VLOOKUP(O669, '[1]CURSOS 2025'!A:B, 2, FALSE), "")</f>
        <v/>
      </c>
      <c r="U669" s="39">
        <f t="shared" si="100"/>
        <v>0</v>
      </c>
    </row>
    <row r="670" spans="1:21" s="40" customFormat="1" ht="60" customHeight="1" thickBot="1" x14ac:dyDescent="0.35">
      <c r="A670" s="30">
        <f t="array" ref="A670">IF(B670&lt;&gt;"",COUNTIF($B$19:B670,"&lt;&gt;"),"")</f>
        <v>590</v>
      </c>
      <c r="B670" s="41">
        <v>846</v>
      </c>
      <c r="C670" s="42" t="s">
        <v>45</v>
      </c>
      <c r="D670" s="43" t="s">
        <v>2303</v>
      </c>
      <c r="E670" s="42" t="s">
        <v>2304</v>
      </c>
      <c r="F670" s="49" t="s">
        <v>1417</v>
      </c>
      <c r="G670" s="36"/>
      <c r="H670" s="44"/>
      <c r="I670" s="44"/>
      <c r="J670" s="44"/>
      <c r="K670" s="216" t="s">
        <v>231</v>
      </c>
      <c r="L670" s="214" t="s">
        <v>231</v>
      </c>
      <c r="M670" s="214" t="s">
        <v>231</v>
      </c>
      <c r="N670" s="217" t="s">
        <v>1537</v>
      </c>
      <c r="O670" s="217" t="s">
        <v>2305</v>
      </c>
      <c r="P670" s="213">
        <v>46119</v>
      </c>
      <c r="Q670" s="213">
        <v>46119</v>
      </c>
      <c r="R670" s="214">
        <v>20</v>
      </c>
      <c r="S670" s="46" t="s">
        <v>33</v>
      </c>
      <c r="T670" s="30" t="s">
        <v>234</v>
      </c>
      <c r="U670" s="215">
        <f t="shared" si="100"/>
        <v>20</v>
      </c>
    </row>
    <row r="671" spans="1:21" s="40" customFormat="1" ht="60" customHeight="1" thickBot="1" x14ac:dyDescent="0.35">
      <c r="A671" s="30">
        <f t="array" ref="A671">IF(B671&lt;&gt;"",COUNTIF($B$19:B671,"&lt;&gt;"),"")</f>
        <v>591</v>
      </c>
      <c r="B671" s="41">
        <v>846</v>
      </c>
      <c r="C671" s="42" t="s">
        <v>45</v>
      </c>
      <c r="D671" s="43" t="s">
        <v>2303</v>
      </c>
      <c r="E671" s="42" t="s">
        <v>2306</v>
      </c>
      <c r="F671" s="49" t="s">
        <v>1417</v>
      </c>
      <c r="G671" s="36"/>
      <c r="H671" s="44"/>
      <c r="I671" s="44"/>
      <c r="J671" s="44"/>
      <c r="K671" s="216" t="s">
        <v>231</v>
      </c>
      <c r="L671" s="214" t="s">
        <v>231</v>
      </c>
      <c r="M671" s="214" t="s">
        <v>231</v>
      </c>
      <c r="N671" s="217" t="s">
        <v>1537</v>
      </c>
      <c r="O671" s="217" t="s">
        <v>2305</v>
      </c>
      <c r="P671" s="213">
        <v>46119</v>
      </c>
      <c r="Q671" s="213">
        <v>46119</v>
      </c>
      <c r="R671" s="214">
        <v>20</v>
      </c>
      <c r="S671" s="46" t="s">
        <v>37</v>
      </c>
      <c r="T671" s="30" t="s">
        <v>234</v>
      </c>
      <c r="U671" s="215">
        <f t="shared" si="100"/>
        <v>20</v>
      </c>
    </row>
    <row r="672" spans="1:21" s="40" customFormat="1" ht="39.75" customHeight="1" thickBot="1" x14ac:dyDescent="0.35">
      <c r="A672" s="30">
        <f t="array" ref="A672">IF(B672&lt;&gt;"",COUNTIF($B$19:B672,"&lt;&gt;"),"")</f>
        <v>592</v>
      </c>
      <c r="B672" s="41">
        <v>846</v>
      </c>
      <c r="C672" s="42" t="s">
        <v>34</v>
      </c>
      <c r="D672" s="43" t="s">
        <v>1465</v>
      </c>
      <c r="E672" s="42" t="s">
        <v>1466</v>
      </c>
      <c r="F672" s="49" t="s">
        <v>1417</v>
      </c>
      <c r="G672" s="36" t="s">
        <v>1467</v>
      </c>
      <c r="H672" s="44"/>
      <c r="I672" s="44"/>
      <c r="J672" s="44"/>
      <c r="K672" s="44"/>
      <c r="L672" s="44"/>
      <c r="M672" s="44"/>
      <c r="N672" s="36"/>
      <c r="O672" s="36"/>
      <c r="P672" s="45"/>
      <c r="Q672" s="45"/>
      <c r="R672" s="44"/>
      <c r="S672" s="46" t="s">
        <v>37</v>
      </c>
      <c r="T672" s="30" t="str">
        <f>IFERROR(VLOOKUP(O672, '[1]CURSOS 2025'!A:B, 2, FALSE), "")</f>
        <v/>
      </c>
      <c r="U672" s="39">
        <f t="shared" si="100"/>
        <v>0</v>
      </c>
    </row>
    <row r="673" spans="1:21" s="40" customFormat="1" ht="39.75" customHeight="1" thickBot="1" x14ac:dyDescent="0.35">
      <c r="A673" s="30">
        <f t="array" ref="A673">IF(B673&lt;&gt;"",COUNTIF($B$19:B673,"&lt;&gt;"),"")</f>
        <v>593</v>
      </c>
      <c r="B673" s="41">
        <v>846</v>
      </c>
      <c r="C673" s="42" t="s">
        <v>57</v>
      </c>
      <c r="D673" s="43" t="s">
        <v>1468</v>
      </c>
      <c r="E673" s="42" t="s">
        <v>1469</v>
      </c>
      <c r="F673" s="49" t="s">
        <v>1417</v>
      </c>
      <c r="G673" s="36" t="s">
        <v>1470</v>
      </c>
      <c r="H673" s="44"/>
      <c r="I673" s="44"/>
      <c r="J673" s="44"/>
      <c r="K673" s="44"/>
      <c r="L673" s="44"/>
      <c r="M673" s="44"/>
      <c r="N673" s="36"/>
      <c r="O673" s="36"/>
      <c r="P673" s="45"/>
      <c r="Q673" s="45"/>
      <c r="R673" s="44"/>
      <c r="S673" s="46" t="s">
        <v>37</v>
      </c>
      <c r="T673" s="30" t="str">
        <f>IFERROR(VLOOKUP(O673, '[1]CURSOS 2025'!A:B, 2, FALSE), "")</f>
        <v/>
      </c>
      <c r="U673" s="39">
        <f t="shared" si="100"/>
        <v>0</v>
      </c>
    </row>
    <row r="674" spans="1:21" s="40" customFormat="1" ht="39.75" customHeight="1" thickBot="1" x14ac:dyDescent="0.35">
      <c r="A674" s="30">
        <f t="array" ref="A674">IF(B674&lt;&gt;"",COUNTIF($B$19:B674,"&lt;&gt;"),"")</f>
        <v>594</v>
      </c>
      <c r="B674" s="41">
        <v>846</v>
      </c>
      <c r="C674" s="42" t="s">
        <v>34</v>
      </c>
      <c r="D674" s="43" t="s">
        <v>1471</v>
      </c>
      <c r="E674" s="42" t="s">
        <v>1472</v>
      </c>
      <c r="F674" s="49" t="s">
        <v>1417</v>
      </c>
      <c r="G674" s="36" t="s">
        <v>1473</v>
      </c>
      <c r="H674" s="44"/>
      <c r="I674" s="44"/>
      <c r="J674" s="44"/>
      <c r="K674" s="44" t="s">
        <v>231</v>
      </c>
      <c r="L674" s="44" t="s">
        <v>231</v>
      </c>
      <c r="M674" s="44" t="s">
        <v>231</v>
      </c>
      <c r="N674" s="36" t="s">
        <v>1537</v>
      </c>
      <c r="O674" s="36" t="s">
        <v>1712</v>
      </c>
      <c r="P674" s="45">
        <v>46069</v>
      </c>
      <c r="Q674" s="45">
        <v>46069</v>
      </c>
      <c r="R674" s="44">
        <v>2</v>
      </c>
      <c r="S674" s="46" t="s">
        <v>37</v>
      </c>
      <c r="T674" s="30" t="s">
        <v>234</v>
      </c>
      <c r="U674" s="221">
        <f>SUM(R674:R677)</f>
        <v>8</v>
      </c>
    </row>
    <row r="675" spans="1:21" s="40" customFormat="1" ht="39.75" customHeight="1" thickBot="1" x14ac:dyDescent="0.35">
      <c r="A675" s="30" t="str">
        <f t="array" ref="A675">IF(B675&lt;&gt;"",COUNTIF($B$19:B675,"&lt;&gt;"),"")</f>
        <v/>
      </c>
      <c r="B675" s="41"/>
      <c r="C675" s="42"/>
      <c r="D675" s="43"/>
      <c r="E675" s="42"/>
      <c r="F675" s="49"/>
      <c r="G675" s="36"/>
      <c r="H675" s="44"/>
      <c r="I675" s="44"/>
      <c r="J675" s="44"/>
      <c r="K675" s="44" t="s">
        <v>231</v>
      </c>
      <c r="L675" s="44" t="s">
        <v>231</v>
      </c>
      <c r="M675" s="44" t="s">
        <v>231</v>
      </c>
      <c r="N675" s="36" t="s">
        <v>1537</v>
      </c>
      <c r="O675" s="36" t="s">
        <v>1715</v>
      </c>
      <c r="P675" s="45">
        <v>46071</v>
      </c>
      <c r="Q675" s="45">
        <v>46071</v>
      </c>
      <c r="R675" s="44">
        <v>2</v>
      </c>
      <c r="S675" s="46" t="s">
        <v>37</v>
      </c>
      <c r="T675" s="30" t="s">
        <v>234</v>
      </c>
      <c r="U675" s="222"/>
    </row>
    <row r="676" spans="1:21" s="40" customFormat="1" ht="39.75" customHeight="1" thickBot="1" x14ac:dyDescent="0.35">
      <c r="A676" s="30" t="str">
        <f t="array" ref="A676">IF(B676&lt;&gt;"",COUNTIF($B$19:B676,"&lt;&gt;"),"")</f>
        <v/>
      </c>
      <c r="B676" s="41"/>
      <c r="C676" s="42"/>
      <c r="D676" s="43"/>
      <c r="E676" s="42"/>
      <c r="F676" s="49"/>
      <c r="G676" s="36"/>
      <c r="H676" s="44"/>
      <c r="I676" s="44"/>
      <c r="J676" s="44"/>
      <c r="K676" s="44" t="s">
        <v>231</v>
      </c>
      <c r="L676" s="44" t="s">
        <v>231</v>
      </c>
      <c r="M676" s="44" t="s">
        <v>231</v>
      </c>
      <c r="N676" s="36" t="s">
        <v>1537</v>
      </c>
      <c r="O676" s="36" t="s">
        <v>1716</v>
      </c>
      <c r="P676" s="45">
        <v>46071</v>
      </c>
      <c r="Q676" s="45">
        <v>46071</v>
      </c>
      <c r="R676" s="44">
        <v>2</v>
      </c>
      <c r="S676" s="46" t="s">
        <v>37</v>
      </c>
      <c r="T676" s="30" t="s">
        <v>234</v>
      </c>
      <c r="U676" s="222"/>
    </row>
    <row r="677" spans="1:21" s="40" customFormat="1" ht="39.75" customHeight="1" thickBot="1" x14ac:dyDescent="0.35">
      <c r="A677" s="30" t="str">
        <f t="array" ref="A677">IF(B677&lt;&gt;"",COUNTIF($B$19:B677,"&lt;&gt;"),"")</f>
        <v/>
      </c>
      <c r="B677" s="41"/>
      <c r="C677" s="42"/>
      <c r="D677" s="43"/>
      <c r="E677" s="42"/>
      <c r="F677" s="49"/>
      <c r="G677" s="36"/>
      <c r="H677" s="44"/>
      <c r="I677" s="44"/>
      <c r="J677" s="44"/>
      <c r="K677" s="44" t="s">
        <v>231</v>
      </c>
      <c r="L677" s="44" t="s">
        <v>231</v>
      </c>
      <c r="M677" s="44" t="s">
        <v>231</v>
      </c>
      <c r="N677" s="36" t="s">
        <v>1537</v>
      </c>
      <c r="O677" s="36" t="s">
        <v>871</v>
      </c>
      <c r="P677" s="45">
        <v>46062</v>
      </c>
      <c r="Q677" s="45">
        <v>46062</v>
      </c>
      <c r="R677" s="44">
        <v>2</v>
      </c>
      <c r="S677" s="46" t="s">
        <v>37</v>
      </c>
      <c r="T677" s="30" t="s">
        <v>234</v>
      </c>
      <c r="U677" s="223"/>
    </row>
    <row r="678" spans="1:21" s="40" customFormat="1" ht="39.950000000000003" customHeight="1" thickBot="1" x14ac:dyDescent="0.35">
      <c r="A678" s="30">
        <f t="array" ref="A678">IF(B678&lt;&gt;"",COUNTIF($B$19:B678,"&lt;&gt;"),"")</f>
        <v>595</v>
      </c>
      <c r="B678" s="41">
        <v>846</v>
      </c>
      <c r="C678" s="42" t="s">
        <v>753</v>
      </c>
      <c r="D678" s="43" t="s">
        <v>1474</v>
      </c>
      <c r="E678" s="42" t="s">
        <v>1475</v>
      </c>
      <c r="F678" s="49" t="s">
        <v>1417</v>
      </c>
      <c r="G678" s="36" t="s">
        <v>1476</v>
      </c>
      <c r="H678" s="44"/>
      <c r="I678" s="44"/>
      <c r="J678" s="44"/>
      <c r="K678" s="44" t="s">
        <v>231</v>
      </c>
      <c r="L678" s="44" t="s">
        <v>231</v>
      </c>
      <c r="M678" s="44" t="s">
        <v>231</v>
      </c>
      <c r="N678" s="36" t="s">
        <v>1537</v>
      </c>
      <c r="O678" s="36" t="s">
        <v>1715</v>
      </c>
      <c r="P678" s="45">
        <v>46071</v>
      </c>
      <c r="Q678" s="45">
        <v>46071</v>
      </c>
      <c r="R678" s="44">
        <v>2</v>
      </c>
      <c r="S678" s="46" t="s">
        <v>37</v>
      </c>
      <c r="T678" s="30" t="s">
        <v>234</v>
      </c>
      <c r="U678" s="39">
        <f t="shared" si="100"/>
        <v>2</v>
      </c>
    </row>
    <row r="679" spans="1:21" s="40" customFormat="1" ht="39.75" customHeight="1" thickBot="1" x14ac:dyDescent="0.35">
      <c r="A679" s="30">
        <f t="array" ref="A679">IF(B679&lt;&gt;"",COUNTIF($B$19:B679,"&lt;&gt;"),"")</f>
        <v>596</v>
      </c>
      <c r="B679" s="41">
        <v>846</v>
      </c>
      <c r="C679" s="42" t="s">
        <v>141</v>
      </c>
      <c r="D679" s="43" t="s">
        <v>1477</v>
      </c>
      <c r="E679" s="42" t="s">
        <v>1478</v>
      </c>
      <c r="F679" s="49" t="s">
        <v>1417</v>
      </c>
      <c r="G679" s="36" t="s">
        <v>1479</v>
      </c>
      <c r="H679" s="44"/>
      <c r="I679" s="44"/>
      <c r="J679" s="44"/>
      <c r="K679" s="44"/>
      <c r="L679" s="44"/>
      <c r="M679" s="44"/>
      <c r="N679" s="36"/>
      <c r="O679" s="36"/>
      <c r="P679" s="45"/>
      <c r="Q679" s="45"/>
      <c r="R679" s="44"/>
      <c r="S679" s="44" t="s">
        <v>33</v>
      </c>
      <c r="T679" s="30" t="str">
        <f>IFERROR(VLOOKUP(O679, '[1]CURSOS 2025'!A:B, 2, FALSE), "")</f>
        <v/>
      </c>
      <c r="U679" s="48">
        <f>SUM(R679)</f>
        <v>0</v>
      </c>
    </row>
    <row r="680" spans="1:21" s="40" customFormat="1" ht="39.950000000000003" customHeight="1" thickBot="1" x14ac:dyDescent="0.35">
      <c r="A680" s="30">
        <f t="array" ref="A680">IF(B680&lt;&gt;"",COUNTIF($B$19:B680,"&lt;&gt;"),"")</f>
        <v>597</v>
      </c>
      <c r="B680" s="41">
        <v>846</v>
      </c>
      <c r="C680" s="42" t="s">
        <v>483</v>
      </c>
      <c r="D680" s="43" t="s">
        <v>1480</v>
      </c>
      <c r="E680" s="42" t="s">
        <v>1481</v>
      </c>
      <c r="F680" s="49" t="s">
        <v>1417</v>
      </c>
      <c r="G680" s="49"/>
      <c r="H680" s="44"/>
      <c r="I680" s="44"/>
      <c r="J680" s="44"/>
      <c r="K680" s="44"/>
      <c r="L680" s="44"/>
      <c r="M680" s="44"/>
      <c r="N680" s="36"/>
      <c r="O680" s="36"/>
      <c r="P680" s="45"/>
      <c r="Q680" s="45"/>
      <c r="R680" s="44"/>
      <c r="S680" s="46" t="s">
        <v>37</v>
      </c>
      <c r="T680" s="30" t="str">
        <f>IFERROR(VLOOKUP(O680, '[1]CURSOS 2025'!A:B, 2, FALSE), "")</f>
        <v/>
      </c>
      <c r="U680" s="39">
        <f>SUM(R680:R680)</f>
        <v>0</v>
      </c>
    </row>
    <row r="681" spans="1:21" s="40" customFormat="1" ht="39.950000000000003" customHeight="1" thickBot="1" x14ac:dyDescent="0.35">
      <c r="A681" s="30">
        <f t="array" ref="A681">IF(B681&lt;&gt;"",COUNTIF($B$19:B681,"&lt;&gt;"),"")</f>
        <v>598</v>
      </c>
      <c r="B681" s="41">
        <v>846</v>
      </c>
      <c r="C681" s="42" t="s">
        <v>1377</v>
      </c>
      <c r="D681" s="43" t="s">
        <v>1482</v>
      </c>
      <c r="E681" s="42" t="s">
        <v>1483</v>
      </c>
      <c r="F681" s="49" t="s">
        <v>1417</v>
      </c>
      <c r="G681" s="49"/>
      <c r="H681" s="44"/>
      <c r="I681" s="44"/>
      <c r="J681" s="44"/>
      <c r="K681" s="44"/>
      <c r="L681" s="44"/>
      <c r="M681" s="44"/>
      <c r="N681" s="36"/>
      <c r="O681" s="36"/>
      <c r="P681" s="45"/>
      <c r="Q681" s="45"/>
      <c r="R681" s="44"/>
      <c r="S681" s="46" t="s">
        <v>37</v>
      </c>
      <c r="T681" s="30" t="str">
        <f>IFERROR(VLOOKUP(O681, '[1]CURSOS 2025'!A:B, 2, FALSE), "")</f>
        <v/>
      </c>
      <c r="U681" s="39">
        <f>SUM(R681:R681)</f>
        <v>0</v>
      </c>
    </row>
    <row r="682" spans="1:21" s="59" customFormat="1" ht="39.950000000000003" customHeight="1" thickBot="1" x14ac:dyDescent="0.35">
      <c r="A682" s="30" t="str">
        <f t="array" ref="A682">IF(B682&lt;&gt;"",COUNTIF($B$19:B682,"&lt;&gt;"),"")</f>
        <v/>
      </c>
      <c r="B682" s="50"/>
      <c r="C682" s="51"/>
      <c r="D682" s="52"/>
      <c r="E682" s="51"/>
      <c r="F682" s="53"/>
      <c r="G682" s="53"/>
      <c r="H682" s="54"/>
      <c r="I682" s="54"/>
      <c r="J682" s="54"/>
      <c r="K682" s="54"/>
      <c r="L682" s="54"/>
      <c r="M682" s="54"/>
      <c r="N682" s="55"/>
      <c r="O682" s="55"/>
      <c r="P682" s="56"/>
      <c r="Q682" s="56"/>
      <c r="R682" s="54"/>
      <c r="S682" s="54"/>
      <c r="T682" s="57" t="str">
        <f>IFERROR(VLOOKUP(O682, '[1]CURSOS 2025'!A:B, 2, FALSE), "")</f>
        <v/>
      </c>
      <c r="U682" s="73"/>
    </row>
    <row r="683" spans="1:21" s="40" customFormat="1" ht="39.950000000000003" customHeight="1" thickBot="1" x14ac:dyDescent="0.35">
      <c r="A683" s="30">
        <f t="array" ref="A683">IF(B683&lt;&gt;"",COUNTIF($B$19:B683,"&lt;&gt;"),"")</f>
        <v>599</v>
      </c>
      <c r="B683" s="41">
        <v>625</v>
      </c>
      <c r="C683" s="42" t="s">
        <v>243</v>
      </c>
      <c r="D683" s="74">
        <v>20758</v>
      </c>
      <c r="E683" s="42" t="s">
        <v>1484</v>
      </c>
      <c r="F683" s="49" t="s">
        <v>1485</v>
      </c>
      <c r="G683" s="36" t="s">
        <v>1486</v>
      </c>
      <c r="H683" s="44"/>
      <c r="I683" s="44"/>
      <c r="J683" s="44"/>
      <c r="K683" s="44"/>
      <c r="L683" s="44"/>
      <c r="M683" s="44"/>
      <c r="N683" s="36"/>
      <c r="O683" s="36"/>
      <c r="P683" s="45"/>
      <c r="Q683" s="45"/>
      <c r="R683" s="44"/>
      <c r="S683" s="44" t="s">
        <v>33</v>
      </c>
      <c r="T683" s="30" t="str">
        <f>IFERROR(VLOOKUP(O683, '[1]CURSOS 2025'!A:B, 2, FALSE), "")</f>
        <v/>
      </c>
      <c r="U683" s="48">
        <f>SUM(R683)</f>
        <v>0</v>
      </c>
    </row>
    <row r="684" spans="1:21" s="40" customFormat="1" ht="39.950000000000003" customHeight="1" thickBot="1" x14ac:dyDescent="0.35">
      <c r="A684" s="30">
        <f t="array" ref="A684">IF(B684&lt;&gt;"",COUNTIF($B$19:B684,"&lt;&gt;"),"")</f>
        <v>600</v>
      </c>
      <c r="B684" s="41">
        <v>625</v>
      </c>
      <c r="C684" s="42" t="s">
        <v>141</v>
      </c>
      <c r="D684" s="43">
        <v>206158</v>
      </c>
      <c r="E684" s="42" t="s">
        <v>1487</v>
      </c>
      <c r="F684" s="49" t="s">
        <v>1485</v>
      </c>
      <c r="G684" s="36" t="s">
        <v>1488</v>
      </c>
      <c r="H684" s="44"/>
      <c r="I684" s="44"/>
      <c r="J684" s="44"/>
      <c r="K684" s="44"/>
      <c r="L684" s="44"/>
      <c r="M684" s="44"/>
      <c r="N684" s="36"/>
      <c r="O684" s="36"/>
      <c r="P684" s="45"/>
      <c r="Q684" s="45"/>
      <c r="R684" s="44"/>
      <c r="S684" s="44" t="s">
        <v>33</v>
      </c>
      <c r="T684" s="30" t="str">
        <f>IFERROR(VLOOKUP(O684, '[1]CURSOS 2025'!A:B, 2, FALSE), "")</f>
        <v/>
      </c>
      <c r="U684" s="48">
        <f t="shared" ref="U684:U685" si="101">SUM(R684)</f>
        <v>0</v>
      </c>
    </row>
    <row r="685" spans="1:21" s="40" customFormat="1" ht="39.950000000000003" customHeight="1" thickBot="1" x14ac:dyDescent="0.35">
      <c r="A685" s="30">
        <f t="array" ref="A685">IF(B685&lt;&gt;"",COUNTIF($B$19:B685,"&lt;&gt;"),"")</f>
        <v>601</v>
      </c>
      <c r="B685" s="41">
        <v>625</v>
      </c>
      <c r="C685" s="42" t="s">
        <v>38</v>
      </c>
      <c r="D685" s="43">
        <v>206243</v>
      </c>
      <c r="E685" s="42" t="s">
        <v>1489</v>
      </c>
      <c r="F685" s="49" t="s">
        <v>1485</v>
      </c>
      <c r="G685" s="36" t="s">
        <v>1490</v>
      </c>
      <c r="H685" s="44"/>
      <c r="I685" s="44"/>
      <c r="J685" s="44"/>
      <c r="K685" s="44"/>
      <c r="L685" s="44"/>
      <c r="M685" s="44"/>
      <c r="N685" s="36"/>
      <c r="O685" s="36"/>
      <c r="P685" s="45"/>
      <c r="Q685" s="45"/>
      <c r="R685" s="44"/>
      <c r="S685" s="44" t="s">
        <v>33</v>
      </c>
      <c r="T685" s="30" t="str">
        <f>IFERROR(VLOOKUP(O685, '[1]CURSOS 2025'!A:B, 2, FALSE), "")</f>
        <v/>
      </c>
      <c r="U685" s="48">
        <f t="shared" si="101"/>
        <v>0</v>
      </c>
    </row>
    <row r="686" spans="1:21" s="40" customFormat="1" ht="39.950000000000003" customHeight="1" thickBot="1" x14ac:dyDescent="0.35">
      <c r="A686" s="30">
        <f t="array" ref="A686">IF(B686&lt;&gt;"",COUNTIF($B$19:B686,"&lt;&gt;"),"")</f>
        <v>602</v>
      </c>
      <c r="B686" s="41">
        <v>625</v>
      </c>
      <c r="C686" s="42" t="s">
        <v>57</v>
      </c>
      <c r="D686" s="43">
        <v>6003</v>
      </c>
      <c r="E686" s="42" t="s">
        <v>1491</v>
      </c>
      <c r="F686" s="49" t="s">
        <v>1485</v>
      </c>
      <c r="G686" s="36" t="s">
        <v>1492</v>
      </c>
      <c r="H686" s="44"/>
      <c r="I686" s="44"/>
      <c r="J686" s="44"/>
      <c r="K686" s="44"/>
      <c r="L686" s="44"/>
      <c r="M686" s="44"/>
      <c r="N686" s="36"/>
      <c r="O686" s="36"/>
      <c r="P686" s="45"/>
      <c r="Q686" s="45"/>
      <c r="R686" s="44"/>
      <c r="S686" s="46" t="s">
        <v>37</v>
      </c>
      <c r="T686" s="30" t="str">
        <f>IFERROR(VLOOKUP(O686, '[1]CURSOS 2025'!A:B, 2, FALSE), "")</f>
        <v/>
      </c>
      <c r="U686" s="39">
        <f>SUM(R686:R686)</f>
        <v>0</v>
      </c>
    </row>
    <row r="687" spans="1:21" s="40" customFormat="1" ht="39.950000000000003" customHeight="1" thickBot="1" x14ac:dyDescent="0.35">
      <c r="A687" s="30">
        <f t="array" ref="A687">IF(B687&lt;&gt;"",COUNTIF($B$19:B687,"&lt;&gt;"),"")</f>
        <v>603</v>
      </c>
      <c r="B687" s="41">
        <v>625</v>
      </c>
      <c r="C687" s="42" t="s">
        <v>1493</v>
      </c>
      <c r="D687" s="43">
        <v>206168</v>
      </c>
      <c r="E687" s="42" t="s">
        <v>1494</v>
      </c>
      <c r="F687" s="49" t="s">
        <v>1485</v>
      </c>
      <c r="G687" s="36" t="s">
        <v>1495</v>
      </c>
      <c r="H687" s="44"/>
      <c r="I687" s="44"/>
      <c r="J687" s="44"/>
      <c r="K687" s="44"/>
      <c r="L687" s="44"/>
      <c r="M687" s="44"/>
      <c r="N687" s="36"/>
      <c r="O687" s="36"/>
      <c r="P687" s="45"/>
      <c r="Q687" s="45"/>
      <c r="R687" s="44"/>
      <c r="S687" s="44" t="s">
        <v>37</v>
      </c>
      <c r="T687" s="30" t="str">
        <f>IFERROR(VLOOKUP(O687, '[1]CURSOS 2025'!A:B, 2, FALSE), "")</f>
        <v/>
      </c>
      <c r="U687" s="48">
        <f t="shared" ref="U687:U689" si="102">SUM(R687)</f>
        <v>0</v>
      </c>
    </row>
    <row r="688" spans="1:21" s="40" customFormat="1" ht="39.950000000000003" customHeight="1" thickBot="1" x14ac:dyDescent="0.35">
      <c r="A688" s="30">
        <f t="array" ref="A688">IF(B688&lt;&gt;"",COUNTIF($B$19:B688,"&lt;&gt;"),"")</f>
        <v>604</v>
      </c>
      <c r="B688" s="41">
        <v>625</v>
      </c>
      <c r="C688" s="42" t="s">
        <v>38</v>
      </c>
      <c r="D688" s="43">
        <v>6061</v>
      </c>
      <c r="E688" s="42" t="s">
        <v>1496</v>
      </c>
      <c r="F688" s="49" t="s">
        <v>1485</v>
      </c>
      <c r="G688" s="36" t="s">
        <v>1497</v>
      </c>
      <c r="H688" s="44"/>
      <c r="I688" s="44"/>
      <c r="J688" s="44"/>
      <c r="K688" s="44"/>
      <c r="L688" s="44"/>
      <c r="M688" s="44"/>
      <c r="N688" s="36"/>
      <c r="O688" s="36"/>
      <c r="P688" s="45"/>
      <c r="Q688" s="45"/>
      <c r="R688" s="44"/>
      <c r="S688" s="44" t="s">
        <v>33</v>
      </c>
      <c r="T688" s="30" t="str">
        <f>IFERROR(VLOOKUP(O688, '[1]CURSOS 2025'!A:B, 2, FALSE), "")</f>
        <v/>
      </c>
      <c r="U688" s="48">
        <f t="shared" si="102"/>
        <v>0</v>
      </c>
    </row>
    <row r="689" spans="1:21" s="40" customFormat="1" ht="39.950000000000003" customHeight="1" thickBot="1" x14ac:dyDescent="0.35">
      <c r="A689" s="30">
        <f t="array" ref="A689">IF(B689&lt;&gt;"",COUNTIF($B$19:B689,"&lt;&gt;"),"")</f>
        <v>605</v>
      </c>
      <c r="B689" s="41">
        <v>625</v>
      </c>
      <c r="C689" s="42" t="s">
        <v>34</v>
      </c>
      <c r="D689" s="43">
        <v>205444</v>
      </c>
      <c r="E689" s="42" t="s">
        <v>1498</v>
      </c>
      <c r="F689" s="49" t="s">
        <v>1485</v>
      </c>
      <c r="G689" s="36" t="s">
        <v>1499</v>
      </c>
      <c r="H689" s="44"/>
      <c r="I689" s="44"/>
      <c r="J689" s="44"/>
      <c r="K689" s="44"/>
      <c r="L689" s="44"/>
      <c r="M689" s="44"/>
      <c r="N689" s="36"/>
      <c r="O689" s="36"/>
      <c r="P689" s="45"/>
      <c r="Q689" s="45"/>
      <c r="R689" s="44"/>
      <c r="S689" s="44" t="s">
        <v>37</v>
      </c>
      <c r="T689" s="30" t="str">
        <f>IFERROR(VLOOKUP(O689, '[1]CURSOS 2025'!A:B, 2, FALSE), "")</f>
        <v/>
      </c>
      <c r="U689" s="48">
        <f t="shared" si="102"/>
        <v>0</v>
      </c>
    </row>
    <row r="690" spans="1:21" s="40" customFormat="1" ht="39.950000000000003" customHeight="1" thickBot="1" x14ac:dyDescent="0.35">
      <c r="A690" s="30">
        <f t="array" ref="A690">IF(B690&lt;&gt;"",COUNTIF($B$19:B690,"&lt;&gt;"),"")</f>
        <v>606</v>
      </c>
      <c r="B690" s="41">
        <v>625</v>
      </c>
      <c r="C690" s="42" t="s">
        <v>38</v>
      </c>
      <c r="D690" s="43">
        <v>20317</v>
      </c>
      <c r="E690" s="42" t="s">
        <v>1500</v>
      </c>
      <c r="F690" s="49" t="s">
        <v>1485</v>
      </c>
      <c r="G690" s="36" t="s">
        <v>1501</v>
      </c>
      <c r="H690" s="44"/>
      <c r="I690" s="44"/>
      <c r="J690" s="44"/>
      <c r="K690" s="44"/>
      <c r="L690" s="44"/>
      <c r="M690" s="44"/>
      <c r="N690" s="36"/>
      <c r="O690" s="36"/>
      <c r="P690" s="45"/>
      <c r="Q690" s="45"/>
      <c r="R690" s="44"/>
      <c r="S690" s="46" t="s">
        <v>37</v>
      </c>
      <c r="T690" s="30" t="str">
        <f>IFERROR(VLOOKUP(O690, '[1]CURSOS 2025'!A:B, 2, FALSE), "")</f>
        <v/>
      </c>
      <c r="U690" s="39">
        <f>SUM(R690:R690)</f>
        <v>0</v>
      </c>
    </row>
    <row r="691" spans="1:21" s="40" customFormat="1" ht="39.75" customHeight="1" thickBot="1" x14ac:dyDescent="0.35">
      <c r="A691" s="30">
        <f t="array" ref="A691">IF(B691&lt;&gt;"",COUNTIF($B$19:B691,"&lt;&gt;"),"")</f>
        <v>607</v>
      </c>
      <c r="B691" s="41">
        <v>625</v>
      </c>
      <c r="C691" s="42" t="s">
        <v>38</v>
      </c>
      <c r="D691" s="43">
        <v>205887</v>
      </c>
      <c r="E691" s="42" t="s">
        <v>1502</v>
      </c>
      <c r="F691" s="49" t="s">
        <v>1485</v>
      </c>
      <c r="G691" s="36" t="s">
        <v>1503</v>
      </c>
      <c r="H691" s="44"/>
      <c r="I691" s="44"/>
      <c r="J691" s="44"/>
      <c r="K691" s="44" t="s">
        <v>231</v>
      </c>
      <c r="L691" s="44" t="s">
        <v>231</v>
      </c>
      <c r="M691" s="44" t="s">
        <v>231</v>
      </c>
      <c r="N691" s="36" t="s">
        <v>1537</v>
      </c>
      <c r="O691" s="36" t="s">
        <v>1715</v>
      </c>
      <c r="P691" s="45">
        <v>46071</v>
      </c>
      <c r="Q691" s="45">
        <v>46071</v>
      </c>
      <c r="R691" s="44">
        <v>2</v>
      </c>
      <c r="S691" s="44" t="s">
        <v>33</v>
      </c>
      <c r="T691" s="30" t="s">
        <v>234</v>
      </c>
      <c r="U691" s="221">
        <f>SUM(R691:R692)</f>
        <v>4</v>
      </c>
    </row>
    <row r="692" spans="1:21" s="40" customFormat="1" ht="39.75" customHeight="1" thickBot="1" x14ac:dyDescent="0.35">
      <c r="A692" s="30" t="str">
        <f t="array" ref="A692">IF(B692&lt;&gt;"",COUNTIF($B$19:B692,"&lt;&gt;"),"")</f>
        <v/>
      </c>
      <c r="B692" s="41"/>
      <c r="C692" s="42"/>
      <c r="D692" s="43"/>
      <c r="E692" s="42"/>
      <c r="F692" s="49"/>
      <c r="G692" s="36"/>
      <c r="H692" s="44"/>
      <c r="I692" s="44"/>
      <c r="J692" s="44"/>
      <c r="K692" s="44" t="s">
        <v>231</v>
      </c>
      <c r="L692" s="44" t="s">
        <v>231</v>
      </c>
      <c r="M692" s="44" t="s">
        <v>231</v>
      </c>
      <c r="N692" s="36" t="s">
        <v>1537</v>
      </c>
      <c r="O692" s="36" t="s">
        <v>1716</v>
      </c>
      <c r="P692" s="45">
        <v>46071</v>
      </c>
      <c r="Q692" s="45">
        <v>46071</v>
      </c>
      <c r="R692" s="44">
        <v>2</v>
      </c>
      <c r="S692" s="44" t="s">
        <v>33</v>
      </c>
      <c r="T692" s="30" t="s">
        <v>234</v>
      </c>
      <c r="U692" s="223"/>
    </row>
    <row r="693" spans="1:21" s="40" customFormat="1" ht="39.950000000000003" customHeight="1" thickBot="1" x14ac:dyDescent="0.35">
      <c r="A693" s="30">
        <f t="array" ref="A693">IF(B693&lt;&gt;"",COUNTIF($B$19:B693,"&lt;&gt;"),"")</f>
        <v>608</v>
      </c>
      <c r="B693" s="41">
        <v>625</v>
      </c>
      <c r="C693" s="42" t="s">
        <v>34</v>
      </c>
      <c r="D693" s="43">
        <v>20734</v>
      </c>
      <c r="E693" s="42" t="s">
        <v>1504</v>
      </c>
      <c r="F693" s="49" t="s">
        <v>1485</v>
      </c>
      <c r="G693" s="36" t="s">
        <v>1505</v>
      </c>
      <c r="H693" s="44"/>
      <c r="I693" s="44"/>
      <c r="J693" s="44"/>
      <c r="K693" s="44"/>
      <c r="L693" s="44"/>
      <c r="M693" s="44"/>
      <c r="N693" s="36"/>
      <c r="O693" s="36"/>
      <c r="P693" s="45"/>
      <c r="Q693" s="45"/>
      <c r="R693" s="44"/>
      <c r="S693" s="44" t="s">
        <v>33</v>
      </c>
      <c r="T693" s="30" t="str">
        <f>IFERROR(VLOOKUP(O693, '[1]CURSOS 2025'!A:B, 2, FALSE), "")</f>
        <v/>
      </c>
      <c r="U693" s="48">
        <f t="shared" ref="U693:U694" si="103">SUM(R693)</f>
        <v>0</v>
      </c>
    </row>
    <row r="694" spans="1:21" s="40" customFormat="1" ht="39.950000000000003" customHeight="1" thickBot="1" x14ac:dyDescent="0.35">
      <c r="A694" s="30">
        <f t="array" ref="A694">IF(B694&lt;&gt;"",COUNTIF($B$19:B694,"&lt;&gt;"),"")</f>
        <v>609</v>
      </c>
      <c r="B694" s="41">
        <v>625</v>
      </c>
      <c r="C694" s="42" t="s">
        <v>34</v>
      </c>
      <c r="D694" s="43">
        <v>205415</v>
      </c>
      <c r="E694" s="42" t="s">
        <v>1506</v>
      </c>
      <c r="F694" s="49" t="s">
        <v>1485</v>
      </c>
      <c r="G694" s="36" t="s">
        <v>1507</v>
      </c>
      <c r="H694" s="44"/>
      <c r="I694" s="44"/>
      <c r="J694" s="44"/>
      <c r="K694" s="44"/>
      <c r="L694" s="44"/>
      <c r="M694" s="44"/>
      <c r="N694" s="36"/>
      <c r="O694" s="36"/>
      <c r="P694" s="45"/>
      <c r="Q694" s="45"/>
      <c r="R694" s="44"/>
      <c r="S694" s="44" t="s">
        <v>33</v>
      </c>
      <c r="T694" s="30" t="str">
        <f>IFERROR(VLOOKUP(O694, '[1]CURSOS 2025'!A:B, 2, FALSE), "")</f>
        <v/>
      </c>
      <c r="U694" s="48">
        <f t="shared" si="103"/>
        <v>0</v>
      </c>
    </row>
    <row r="695" spans="1:21" s="40" customFormat="1" ht="39.950000000000003" customHeight="1" thickBot="1" x14ac:dyDescent="0.35">
      <c r="A695" s="30">
        <f t="array" ref="A695">IF(B695&lt;&gt;"",COUNTIF($B$19:B695,"&lt;&gt;"),"")</f>
        <v>610</v>
      </c>
      <c r="B695" s="41">
        <v>625</v>
      </c>
      <c r="C695" s="42" t="s">
        <v>38</v>
      </c>
      <c r="D695" s="43">
        <v>205731</v>
      </c>
      <c r="E695" s="42" t="s">
        <v>1508</v>
      </c>
      <c r="F695" s="49" t="s">
        <v>1485</v>
      </c>
      <c r="G695" s="36" t="s">
        <v>1509</v>
      </c>
      <c r="H695" s="44"/>
      <c r="I695" s="44"/>
      <c r="J695" s="44"/>
      <c r="K695" s="44"/>
      <c r="L695" s="44"/>
      <c r="M695" s="44"/>
      <c r="N695" s="36"/>
      <c r="O695" s="36"/>
      <c r="P695" s="45"/>
      <c r="Q695" s="45"/>
      <c r="R695" s="44"/>
      <c r="S695" s="46" t="s">
        <v>37</v>
      </c>
      <c r="T695" s="30" t="str">
        <f>IFERROR(VLOOKUP(O695, '[1]CURSOS 2025'!A:B, 2, FALSE), "")</f>
        <v/>
      </c>
      <c r="U695" s="39">
        <f>SUM(R695:R695)</f>
        <v>0</v>
      </c>
    </row>
    <row r="696" spans="1:21" s="40" customFormat="1" ht="39.950000000000003" customHeight="1" thickBot="1" x14ac:dyDescent="0.35">
      <c r="A696" s="30">
        <f t="array" ref="A696">IF(B696&lt;&gt;"",COUNTIF($B$19:B696,"&lt;&gt;"),"")</f>
        <v>611</v>
      </c>
      <c r="B696" s="41">
        <v>625</v>
      </c>
      <c r="C696" s="42" t="s">
        <v>38</v>
      </c>
      <c r="D696" s="43">
        <v>206035</v>
      </c>
      <c r="E696" s="42" t="s">
        <v>1510</v>
      </c>
      <c r="F696" s="49" t="s">
        <v>1485</v>
      </c>
      <c r="G696" s="36" t="s">
        <v>1511</v>
      </c>
      <c r="H696" s="44"/>
      <c r="I696" s="44"/>
      <c r="J696" s="44"/>
      <c r="K696" s="44"/>
      <c r="L696" s="44"/>
      <c r="M696" s="44"/>
      <c r="N696" s="36"/>
      <c r="O696" s="36"/>
      <c r="P696" s="45"/>
      <c r="Q696" s="45"/>
      <c r="R696" s="44"/>
      <c r="S696" s="44" t="s">
        <v>37</v>
      </c>
      <c r="T696" s="30" t="str">
        <f>IFERROR(VLOOKUP(O696, '[1]CURSOS 2025'!A:B, 2, FALSE), "")</f>
        <v/>
      </c>
      <c r="U696" s="48">
        <f t="shared" ref="U696" si="104">SUM(R696)</f>
        <v>0</v>
      </c>
    </row>
    <row r="697" spans="1:21" s="40" customFormat="1" ht="39.950000000000003" customHeight="1" thickBot="1" x14ac:dyDescent="0.35">
      <c r="A697" s="30">
        <f t="array" ref="A697">IF(B697&lt;&gt;"",COUNTIF($B$19:B697,"&lt;&gt;"),"")</f>
        <v>612</v>
      </c>
      <c r="B697" s="41">
        <v>625</v>
      </c>
      <c r="C697" s="42" t="s">
        <v>38</v>
      </c>
      <c r="D697" s="43">
        <v>206182</v>
      </c>
      <c r="E697" s="42" t="s">
        <v>1512</v>
      </c>
      <c r="F697" s="49" t="s">
        <v>1485</v>
      </c>
      <c r="G697" s="36" t="s">
        <v>1513</v>
      </c>
      <c r="H697" s="44"/>
      <c r="I697" s="44"/>
      <c r="J697" s="44"/>
      <c r="K697" s="44" t="s">
        <v>231</v>
      </c>
      <c r="L697" s="44" t="s">
        <v>231</v>
      </c>
      <c r="M697" s="44" t="s">
        <v>231</v>
      </c>
      <c r="N697" s="36" t="s">
        <v>1537</v>
      </c>
      <c r="O697" s="36" t="s">
        <v>1713</v>
      </c>
      <c r="P697" s="45">
        <v>46069</v>
      </c>
      <c r="Q697" s="45">
        <v>46069</v>
      </c>
      <c r="R697" s="44">
        <v>2</v>
      </c>
      <c r="S697" s="46" t="s">
        <v>37</v>
      </c>
      <c r="T697" s="30" t="s">
        <v>234</v>
      </c>
      <c r="U697" s="39">
        <f>SUM(R697:R697)</f>
        <v>2</v>
      </c>
    </row>
    <row r="698" spans="1:21" s="40" customFormat="1" ht="39.950000000000003" customHeight="1" thickBot="1" x14ac:dyDescent="0.35">
      <c r="A698" s="30">
        <f t="array" ref="A698">IF(B698&lt;&gt;"",COUNTIF($B$19:B698,"&lt;&gt;"),"")</f>
        <v>613</v>
      </c>
      <c r="B698" s="41">
        <v>625</v>
      </c>
      <c r="C698" s="42" t="s">
        <v>45</v>
      </c>
      <c r="D698" s="43">
        <v>895</v>
      </c>
      <c r="E698" s="42" t="s">
        <v>1514</v>
      </c>
      <c r="F698" s="49" t="s">
        <v>1485</v>
      </c>
      <c r="G698" s="36" t="s">
        <v>1515</v>
      </c>
      <c r="H698" s="44"/>
      <c r="I698" s="44"/>
      <c r="J698" s="44"/>
      <c r="K698" s="44"/>
      <c r="L698" s="44"/>
      <c r="M698" s="44"/>
      <c r="N698" s="36"/>
      <c r="O698" s="36"/>
      <c r="P698" s="45"/>
      <c r="Q698" s="45"/>
      <c r="R698" s="44"/>
      <c r="S698" s="44" t="s">
        <v>37</v>
      </c>
      <c r="T698" s="30" t="str">
        <f>IFERROR(VLOOKUP(O698, '[1]CURSOS 2025'!A:B, 2, FALSE), "")</f>
        <v/>
      </c>
      <c r="U698" s="48">
        <f t="shared" ref="U698:U699" si="105">SUM(R698)</f>
        <v>0</v>
      </c>
    </row>
    <row r="699" spans="1:21" s="40" customFormat="1" ht="39.950000000000003" customHeight="1" thickBot="1" x14ac:dyDescent="0.35">
      <c r="A699" s="30">
        <f t="array" ref="A699">IF(B699&lt;&gt;"",COUNTIF($B$19:B699,"&lt;&gt;"),"")</f>
        <v>614</v>
      </c>
      <c r="B699" s="41">
        <v>625</v>
      </c>
      <c r="C699" s="42" t="s">
        <v>45</v>
      </c>
      <c r="D699" s="43">
        <v>5683</v>
      </c>
      <c r="E699" s="42" t="s">
        <v>1516</v>
      </c>
      <c r="F699" s="49" t="s">
        <v>1485</v>
      </c>
      <c r="G699" s="36" t="s">
        <v>1517</v>
      </c>
      <c r="H699" s="44"/>
      <c r="I699" s="44"/>
      <c r="J699" s="44"/>
      <c r="K699" s="44"/>
      <c r="L699" s="44"/>
      <c r="M699" s="44"/>
      <c r="N699" s="36"/>
      <c r="O699" s="36"/>
      <c r="P699" s="45"/>
      <c r="Q699" s="45"/>
      <c r="R699" s="44"/>
      <c r="S699" s="44" t="s">
        <v>37</v>
      </c>
      <c r="T699" s="30" t="str">
        <f>IFERROR(VLOOKUP(O699, '[1]CURSOS 2025'!A:B, 2, FALSE), "")</f>
        <v/>
      </c>
      <c r="U699" s="48">
        <f t="shared" si="105"/>
        <v>0</v>
      </c>
    </row>
    <row r="700" spans="1:21" s="40" customFormat="1" ht="39.950000000000003" customHeight="1" thickBot="1" x14ac:dyDescent="0.35">
      <c r="A700" s="30">
        <f t="array" ref="A700">IF(B700&lt;&gt;"",COUNTIF($B$19:B700,"&lt;&gt;"),"")</f>
        <v>615</v>
      </c>
      <c r="B700" s="41">
        <v>625</v>
      </c>
      <c r="C700" s="42" t="s">
        <v>45</v>
      </c>
      <c r="D700" s="43" t="s">
        <v>1518</v>
      </c>
      <c r="E700" s="42" t="s">
        <v>1519</v>
      </c>
      <c r="F700" s="49" t="s">
        <v>1485</v>
      </c>
      <c r="G700" s="61"/>
      <c r="H700" s="44"/>
      <c r="I700" s="44"/>
      <c r="J700" s="44"/>
      <c r="K700" s="44"/>
      <c r="L700" s="44"/>
      <c r="M700" s="44"/>
      <c r="N700" s="36"/>
      <c r="O700" s="36"/>
      <c r="P700" s="45"/>
      <c r="Q700" s="45"/>
      <c r="R700" s="44"/>
      <c r="S700" s="46" t="s">
        <v>33</v>
      </c>
      <c r="T700" s="30" t="str">
        <f>IFERROR(VLOOKUP(O700, '[1]CURSOS 2025'!A:B, 2, FALSE), "")</f>
        <v/>
      </c>
      <c r="U700" s="39">
        <f>SUM(R700:R700)</f>
        <v>0</v>
      </c>
    </row>
    <row r="701" spans="1:21" s="40" customFormat="1" ht="39.950000000000003" customHeight="1" thickBot="1" x14ac:dyDescent="0.35">
      <c r="A701" s="30">
        <f t="array" ref="A701">IF(B701&lt;&gt;"",COUNTIF($B$19:B701,"&lt;&gt;"),"")</f>
        <v>616</v>
      </c>
      <c r="B701" s="41">
        <v>625</v>
      </c>
      <c r="C701" s="42" t="s">
        <v>38</v>
      </c>
      <c r="D701" s="43" t="s">
        <v>1520</v>
      </c>
      <c r="E701" s="42" t="s">
        <v>1521</v>
      </c>
      <c r="F701" s="49" t="s">
        <v>1485</v>
      </c>
      <c r="G701" s="61"/>
      <c r="H701" s="44"/>
      <c r="I701" s="44"/>
      <c r="J701" s="44"/>
      <c r="K701" s="44"/>
      <c r="L701" s="44"/>
      <c r="M701" s="44"/>
      <c r="N701" s="36"/>
      <c r="O701" s="36"/>
      <c r="P701" s="45"/>
      <c r="Q701" s="45"/>
      <c r="R701" s="44"/>
      <c r="S701" s="35" t="s">
        <v>33</v>
      </c>
      <c r="T701" s="30" t="str">
        <f>IFERROR(VLOOKUP(O701, '[1]CURSOS 2025'!A:B, 2, FALSE), "")</f>
        <v/>
      </c>
      <c r="U701" s="75">
        <f>R701</f>
        <v>0</v>
      </c>
    </row>
    <row r="702" spans="1:21" s="59" customFormat="1" ht="39.950000000000003" customHeight="1" thickBot="1" x14ac:dyDescent="0.35">
      <c r="A702" s="30" t="str">
        <f t="array" ref="A702">IF(B702&lt;&gt;"",COUNTIF($B$19:B702,"&lt;&gt;"),"")</f>
        <v/>
      </c>
      <c r="B702" s="50"/>
      <c r="C702" s="51"/>
      <c r="D702" s="52"/>
      <c r="E702" s="51"/>
      <c r="F702" s="53"/>
      <c r="G702" s="76"/>
      <c r="H702" s="54"/>
      <c r="I702" s="54"/>
      <c r="J702" s="54"/>
      <c r="K702" s="54"/>
      <c r="L702" s="54"/>
      <c r="M702" s="54"/>
      <c r="N702" s="55"/>
      <c r="O702" s="55"/>
      <c r="P702" s="56"/>
      <c r="Q702" s="56"/>
      <c r="R702" s="54"/>
      <c r="S702" s="77"/>
      <c r="T702" s="57"/>
      <c r="U702" s="78"/>
    </row>
    <row r="703" spans="1:21" s="40" customFormat="1" ht="39.950000000000003" customHeight="1" thickBot="1" x14ac:dyDescent="0.35">
      <c r="A703" s="30">
        <f t="array" ref="A703">IF(B703&lt;&gt;"",COUNTIF($B$19:B703,"&lt;&gt;"),"")</f>
        <v>617</v>
      </c>
      <c r="B703" s="41">
        <v>347</v>
      </c>
      <c r="C703" s="42" t="s">
        <v>243</v>
      </c>
      <c r="D703" s="43">
        <v>20383</v>
      </c>
      <c r="E703" s="42" t="s">
        <v>1522</v>
      </c>
      <c r="F703" s="49" t="s">
        <v>1523</v>
      </c>
      <c r="G703" s="36" t="s">
        <v>1524</v>
      </c>
      <c r="H703" s="44"/>
      <c r="I703" s="44"/>
      <c r="J703" s="44"/>
      <c r="K703" s="44" t="s">
        <v>231</v>
      </c>
      <c r="L703" s="44" t="s">
        <v>231</v>
      </c>
      <c r="M703" s="44" t="s">
        <v>231</v>
      </c>
      <c r="N703" s="36" t="s">
        <v>1537</v>
      </c>
      <c r="O703" s="36" t="s">
        <v>1713</v>
      </c>
      <c r="P703" s="45">
        <v>46069</v>
      </c>
      <c r="Q703" s="45">
        <v>46069</v>
      </c>
      <c r="R703" s="44">
        <v>2</v>
      </c>
      <c r="S703" s="46" t="s">
        <v>33</v>
      </c>
      <c r="T703" s="30" t="s">
        <v>234</v>
      </c>
      <c r="U703" s="221">
        <f>SUM(R703:R705)</f>
        <v>6</v>
      </c>
    </row>
    <row r="704" spans="1:21" s="40" customFormat="1" ht="39.950000000000003" customHeight="1" thickBot="1" x14ac:dyDescent="0.35">
      <c r="A704" s="30" t="str">
        <f t="array" ref="A704">IF(B704&lt;&gt;"",COUNTIF($B$19:B704,"&lt;&gt;"),"")</f>
        <v/>
      </c>
      <c r="B704" s="41"/>
      <c r="C704" s="42"/>
      <c r="D704" s="43"/>
      <c r="E704" s="42"/>
      <c r="F704" s="49"/>
      <c r="G704" s="36"/>
      <c r="H704" s="44"/>
      <c r="I704" s="44"/>
      <c r="J704" s="44"/>
      <c r="K704" s="44" t="s">
        <v>231</v>
      </c>
      <c r="L704" s="44" t="s">
        <v>231</v>
      </c>
      <c r="M704" s="44" t="s">
        <v>231</v>
      </c>
      <c r="N704" s="36" t="s">
        <v>1537</v>
      </c>
      <c r="O704" s="36" t="s">
        <v>1715</v>
      </c>
      <c r="P704" s="45">
        <v>46071</v>
      </c>
      <c r="Q704" s="45">
        <v>46071</v>
      </c>
      <c r="R704" s="44">
        <v>2</v>
      </c>
      <c r="S704" s="46" t="s">
        <v>33</v>
      </c>
      <c r="T704" s="30" t="s">
        <v>234</v>
      </c>
      <c r="U704" s="222"/>
    </row>
    <row r="705" spans="1:21" s="40" customFormat="1" ht="39.950000000000003" customHeight="1" thickBot="1" x14ac:dyDescent="0.35">
      <c r="A705" s="30" t="str">
        <f t="array" ref="A705">IF(B705&lt;&gt;"",COUNTIF($B$19:B705,"&lt;&gt;"),"")</f>
        <v/>
      </c>
      <c r="B705" s="41"/>
      <c r="C705" s="42"/>
      <c r="D705" s="43"/>
      <c r="E705" s="42"/>
      <c r="F705" s="49"/>
      <c r="G705" s="36"/>
      <c r="H705" s="44"/>
      <c r="I705" s="44"/>
      <c r="J705" s="44"/>
      <c r="K705" s="44" t="s">
        <v>231</v>
      </c>
      <c r="L705" s="44" t="s">
        <v>231</v>
      </c>
      <c r="M705" s="44" t="s">
        <v>231</v>
      </c>
      <c r="N705" s="36" t="s">
        <v>1537</v>
      </c>
      <c r="O705" s="36" t="s">
        <v>1716</v>
      </c>
      <c r="P705" s="45">
        <v>46071</v>
      </c>
      <c r="Q705" s="45">
        <v>46071</v>
      </c>
      <c r="R705" s="44">
        <v>2</v>
      </c>
      <c r="S705" s="46" t="s">
        <v>33</v>
      </c>
      <c r="T705" s="30" t="s">
        <v>234</v>
      </c>
      <c r="U705" s="223"/>
    </row>
    <row r="706" spans="1:21" s="40" customFormat="1" ht="39.950000000000003" customHeight="1" thickBot="1" x14ac:dyDescent="0.35">
      <c r="A706" s="30">
        <f t="array" ref="A706">IF(B706&lt;&gt;"",COUNTIF($B$19:B706,"&lt;&gt;"),"")</f>
        <v>618</v>
      </c>
      <c r="B706" s="41">
        <v>345</v>
      </c>
      <c r="C706" s="42" t="s">
        <v>81</v>
      </c>
      <c r="D706" s="43">
        <v>206216</v>
      </c>
      <c r="E706" s="42" t="s">
        <v>1525</v>
      </c>
      <c r="F706" s="49" t="s">
        <v>1523</v>
      </c>
      <c r="G706" s="36" t="s">
        <v>1526</v>
      </c>
      <c r="H706" s="44"/>
      <c r="I706" s="44"/>
      <c r="J706" s="44"/>
      <c r="K706" s="44"/>
      <c r="L706" s="44"/>
      <c r="M706" s="44"/>
      <c r="N706" s="36"/>
      <c r="O706" s="36"/>
      <c r="P706" s="45"/>
      <c r="Q706" s="45"/>
      <c r="R706" s="44"/>
      <c r="S706" s="46" t="s">
        <v>33</v>
      </c>
      <c r="T706" s="30" t="str">
        <f>IFERROR(VLOOKUP(O706, '[1]CURSOS 2025'!A:B, 2, FALSE), "")</f>
        <v/>
      </c>
      <c r="U706" s="39">
        <f t="shared" ref="U706:U712" si="106">SUM(R706:R706)</f>
        <v>0</v>
      </c>
    </row>
    <row r="707" spans="1:21" s="40" customFormat="1" ht="39.950000000000003" customHeight="1" thickBot="1" x14ac:dyDescent="0.35">
      <c r="A707" s="30">
        <f t="array" ref="A707">IF(B707&lt;&gt;"",COUNTIF($B$19:B707,"&lt;&gt;"),"")</f>
        <v>619</v>
      </c>
      <c r="B707" s="41">
        <v>347</v>
      </c>
      <c r="C707" s="42" t="s">
        <v>34</v>
      </c>
      <c r="D707" s="43">
        <v>20864</v>
      </c>
      <c r="E707" s="42" t="s">
        <v>1527</v>
      </c>
      <c r="F707" s="49" t="s">
        <v>1523</v>
      </c>
      <c r="G707" s="36" t="s">
        <v>1528</v>
      </c>
      <c r="H707" s="44"/>
      <c r="I707" s="44"/>
      <c r="J707" s="44"/>
      <c r="K707" s="44"/>
      <c r="L707" s="44"/>
      <c r="M707" s="44"/>
      <c r="N707" s="36"/>
      <c r="O707" s="36"/>
      <c r="P707" s="45"/>
      <c r="Q707" s="45"/>
      <c r="R707" s="44"/>
      <c r="S707" s="46" t="s">
        <v>33</v>
      </c>
      <c r="T707" s="30" t="str">
        <f>IFERROR(VLOOKUP(O707, '[1]CURSOS 2025'!A:B, 2, FALSE), "")</f>
        <v/>
      </c>
      <c r="U707" s="39">
        <f t="shared" si="106"/>
        <v>0</v>
      </c>
    </row>
    <row r="708" spans="1:21" s="40" customFormat="1" ht="39.950000000000003" customHeight="1" thickBot="1" x14ac:dyDescent="0.35">
      <c r="A708" s="30">
        <f t="array" ref="A708">IF(B708&lt;&gt;"",COUNTIF($B$19:B708,"&lt;&gt;"),"")</f>
        <v>620</v>
      </c>
      <c r="B708" s="41">
        <v>345</v>
      </c>
      <c r="C708" s="42" t="s">
        <v>34</v>
      </c>
      <c r="D708" s="43">
        <v>968</v>
      </c>
      <c r="E708" s="42" t="s">
        <v>1529</v>
      </c>
      <c r="F708" s="49" t="s">
        <v>1523</v>
      </c>
      <c r="G708" s="36" t="s">
        <v>1530</v>
      </c>
      <c r="H708" s="44"/>
      <c r="I708" s="44"/>
      <c r="J708" s="44"/>
      <c r="K708" s="44"/>
      <c r="L708" s="44"/>
      <c r="M708" s="44"/>
      <c r="N708" s="36"/>
      <c r="O708" s="36"/>
      <c r="P708" s="45"/>
      <c r="Q708" s="45"/>
      <c r="R708" s="44"/>
      <c r="S708" s="46" t="s">
        <v>33</v>
      </c>
      <c r="T708" s="30" t="str">
        <f>IFERROR(VLOOKUP(O708, '[1]CURSOS 2025'!A:B, 2, FALSE), "")</f>
        <v/>
      </c>
      <c r="U708" s="39">
        <f t="shared" si="106"/>
        <v>0</v>
      </c>
    </row>
    <row r="709" spans="1:21" s="40" customFormat="1" ht="39.950000000000003" customHeight="1" thickBot="1" x14ac:dyDescent="0.35">
      <c r="A709" s="30">
        <f t="array" ref="A709">IF(B709&lt;&gt;"",COUNTIF($B$19:B709,"&lt;&gt;"),"")</f>
        <v>621</v>
      </c>
      <c r="B709" s="41">
        <v>345</v>
      </c>
      <c r="C709" s="42" t="s">
        <v>141</v>
      </c>
      <c r="D709" s="43">
        <v>206172</v>
      </c>
      <c r="E709" s="42" t="s">
        <v>1531</v>
      </c>
      <c r="F709" s="49" t="s">
        <v>1523</v>
      </c>
      <c r="G709" s="36" t="s">
        <v>1532</v>
      </c>
      <c r="H709" s="44"/>
      <c r="I709" s="44"/>
      <c r="J709" s="44"/>
      <c r="K709" s="44" t="s">
        <v>231</v>
      </c>
      <c r="L709" s="44" t="s">
        <v>231</v>
      </c>
      <c r="M709" s="44" t="s">
        <v>231</v>
      </c>
      <c r="N709" s="36" t="s">
        <v>232</v>
      </c>
      <c r="O709" s="36" t="s">
        <v>871</v>
      </c>
      <c r="P709" s="45">
        <v>46062</v>
      </c>
      <c r="Q709" s="45">
        <v>46062</v>
      </c>
      <c r="R709" s="44">
        <v>2</v>
      </c>
      <c r="S709" s="46" t="s">
        <v>33</v>
      </c>
      <c r="T709" s="30" t="s">
        <v>234</v>
      </c>
      <c r="U709" s="221">
        <f>SUM(R709:R711)</f>
        <v>6</v>
      </c>
    </row>
    <row r="710" spans="1:21" s="40" customFormat="1" ht="39.950000000000003" customHeight="1" thickBot="1" x14ac:dyDescent="0.35">
      <c r="A710" s="30" t="str">
        <f t="array" ref="A710">IF(B710&lt;&gt;"",COUNTIF($B$19:B710,"&lt;&gt;"),"")</f>
        <v/>
      </c>
      <c r="B710" s="41"/>
      <c r="C710" s="42"/>
      <c r="D710" s="43"/>
      <c r="E710" s="42"/>
      <c r="F710" s="49"/>
      <c r="G710" s="36"/>
      <c r="H710" s="44"/>
      <c r="I710" s="44"/>
      <c r="J710" s="44"/>
      <c r="K710" s="44" t="s">
        <v>231</v>
      </c>
      <c r="L710" s="44" t="s">
        <v>231</v>
      </c>
      <c r="M710" s="44" t="s">
        <v>231</v>
      </c>
      <c r="N710" s="36" t="s">
        <v>1537</v>
      </c>
      <c r="O710" s="36" t="s">
        <v>1713</v>
      </c>
      <c r="P710" s="45">
        <v>46069</v>
      </c>
      <c r="Q710" s="45">
        <v>46069</v>
      </c>
      <c r="R710" s="44">
        <v>2</v>
      </c>
      <c r="S710" s="46" t="s">
        <v>33</v>
      </c>
      <c r="T710" s="30" t="s">
        <v>234</v>
      </c>
      <c r="U710" s="222"/>
    </row>
    <row r="711" spans="1:21" s="40" customFormat="1" ht="39.950000000000003" customHeight="1" thickBot="1" x14ac:dyDescent="0.35">
      <c r="A711" s="30" t="str">
        <f t="array" ref="A711">IF(B711&lt;&gt;"",COUNTIF($B$19:B711,"&lt;&gt;"),"")</f>
        <v/>
      </c>
      <c r="B711" s="41"/>
      <c r="C711" s="42"/>
      <c r="D711" s="43"/>
      <c r="E711" s="42"/>
      <c r="F711" s="49"/>
      <c r="G711" s="36"/>
      <c r="H711" s="44"/>
      <c r="I711" s="44"/>
      <c r="J711" s="44"/>
      <c r="K711" s="44" t="s">
        <v>231</v>
      </c>
      <c r="L711" s="44" t="s">
        <v>231</v>
      </c>
      <c r="M711" s="44" t="s">
        <v>231</v>
      </c>
      <c r="N711" s="36" t="s">
        <v>1537</v>
      </c>
      <c r="O711" s="36" t="s">
        <v>1715</v>
      </c>
      <c r="P711" s="45">
        <v>46071</v>
      </c>
      <c r="Q711" s="45">
        <v>46071</v>
      </c>
      <c r="R711" s="44">
        <v>2</v>
      </c>
      <c r="S711" s="46" t="s">
        <v>33</v>
      </c>
      <c r="T711" s="30" t="s">
        <v>234</v>
      </c>
      <c r="U711" s="223"/>
    </row>
    <row r="712" spans="1:21" s="40" customFormat="1" ht="39.950000000000003" customHeight="1" thickBot="1" x14ac:dyDescent="0.35">
      <c r="A712" s="30">
        <f t="array" ref="A712">IF(B712&lt;&gt;"",COUNTIF($B$19:B712,"&lt;&gt;"),"")</f>
        <v>622</v>
      </c>
      <c r="B712" s="41">
        <v>347</v>
      </c>
      <c r="C712" s="42" t="s">
        <v>753</v>
      </c>
      <c r="D712" s="43">
        <v>6069</v>
      </c>
      <c r="E712" s="42" t="s">
        <v>1533</v>
      </c>
      <c r="F712" s="49" t="s">
        <v>1523</v>
      </c>
      <c r="G712" s="36" t="s">
        <v>1534</v>
      </c>
      <c r="H712" s="44"/>
      <c r="I712" s="44"/>
      <c r="J712" s="44"/>
      <c r="K712" s="44" t="s">
        <v>231</v>
      </c>
      <c r="L712" s="44" t="s">
        <v>231</v>
      </c>
      <c r="M712" s="44" t="s">
        <v>231</v>
      </c>
      <c r="N712" s="36" t="s">
        <v>232</v>
      </c>
      <c r="O712" s="36" t="s">
        <v>2319</v>
      </c>
      <c r="P712" s="45">
        <v>46136</v>
      </c>
      <c r="Q712" s="45">
        <v>46136</v>
      </c>
      <c r="R712" s="44">
        <v>15</v>
      </c>
      <c r="S712" s="46" t="s">
        <v>37</v>
      </c>
      <c r="T712" s="30" t="s">
        <v>234</v>
      </c>
      <c r="U712" s="39">
        <f t="shared" si="106"/>
        <v>15</v>
      </c>
    </row>
    <row r="713" spans="1:21" s="40" customFormat="1" ht="39.950000000000003" customHeight="1" thickBot="1" x14ac:dyDescent="0.35">
      <c r="A713" s="30">
        <f t="array" ref="A713">IF(B713&lt;&gt;"",COUNTIF($B$19:B713,"&lt;&gt;"),"")</f>
        <v>623</v>
      </c>
      <c r="B713" s="41">
        <v>347</v>
      </c>
      <c r="C713" s="42" t="s">
        <v>45</v>
      </c>
      <c r="D713" s="43">
        <v>6176</v>
      </c>
      <c r="E713" s="42" t="s">
        <v>1535</v>
      </c>
      <c r="F713" s="49" t="s">
        <v>1523</v>
      </c>
      <c r="G713" s="36" t="s">
        <v>1536</v>
      </c>
      <c r="H713" s="44"/>
      <c r="I713" s="44"/>
      <c r="J713" s="44"/>
      <c r="K713" s="44" t="s">
        <v>231</v>
      </c>
      <c r="L713" s="44" t="s">
        <v>231</v>
      </c>
      <c r="M713" s="44" t="s">
        <v>231</v>
      </c>
      <c r="N713" s="36" t="s">
        <v>1537</v>
      </c>
      <c r="O713" s="36" t="s">
        <v>233</v>
      </c>
      <c r="P713" s="45">
        <v>46048</v>
      </c>
      <c r="Q713" s="45">
        <v>46048</v>
      </c>
      <c r="R713" s="44">
        <v>40</v>
      </c>
      <c r="S713" s="46" t="s">
        <v>33</v>
      </c>
      <c r="T713" s="30" t="s">
        <v>234</v>
      </c>
      <c r="U713" s="48">
        <f t="shared" ref="U713" si="107">SUM(R713)</f>
        <v>40</v>
      </c>
    </row>
    <row r="714" spans="1:21" s="40" customFormat="1" ht="39.950000000000003" customHeight="1" thickBot="1" x14ac:dyDescent="0.35">
      <c r="A714" s="30">
        <f t="array" ref="A714">IF(B714&lt;&gt;"",COUNTIF($B$19:B714,"&lt;&gt;"),"")</f>
        <v>624</v>
      </c>
      <c r="B714" s="41">
        <v>347</v>
      </c>
      <c r="C714" s="42" t="s">
        <v>1538</v>
      </c>
      <c r="D714" s="43">
        <v>6177</v>
      </c>
      <c r="E714" s="42" t="s">
        <v>1539</v>
      </c>
      <c r="F714" s="49" t="s">
        <v>1523</v>
      </c>
      <c r="G714" s="36" t="s">
        <v>1540</v>
      </c>
      <c r="H714" s="44"/>
      <c r="I714" s="44"/>
      <c r="J714" s="44"/>
      <c r="K714" s="44"/>
      <c r="L714" s="44"/>
      <c r="M714" s="44"/>
      <c r="N714" s="36"/>
      <c r="O714" s="36"/>
      <c r="P714" s="45"/>
      <c r="Q714" s="45"/>
      <c r="R714" s="44"/>
      <c r="S714" s="46" t="s">
        <v>33</v>
      </c>
      <c r="T714" s="30" t="str">
        <f>IFERROR(VLOOKUP(O714, '[1]CURSOS 2025'!A:B, 2, FALSE), "")</f>
        <v/>
      </c>
      <c r="U714" s="39">
        <f t="shared" ref="U714:U721" si="108">SUM(R714:R714)</f>
        <v>0</v>
      </c>
    </row>
    <row r="715" spans="1:21" s="40" customFormat="1" ht="39.950000000000003" customHeight="1" thickBot="1" x14ac:dyDescent="0.35">
      <c r="A715" s="30">
        <f t="array" ref="A715">IF(B715&lt;&gt;"",COUNTIF($B$19:B715,"&lt;&gt;"),"")</f>
        <v>625</v>
      </c>
      <c r="B715" s="41">
        <v>347</v>
      </c>
      <c r="C715" s="42" t="s">
        <v>57</v>
      </c>
      <c r="D715" s="43">
        <v>6001</v>
      </c>
      <c r="E715" s="42" t="s">
        <v>1541</v>
      </c>
      <c r="F715" s="49" t="s">
        <v>1523</v>
      </c>
      <c r="G715" s="36" t="s">
        <v>1542</v>
      </c>
      <c r="H715" s="44"/>
      <c r="I715" s="44"/>
      <c r="J715" s="44"/>
      <c r="K715" s="44"/>
      <c r="L715" s="44"/>
      <c r="M715" s="44"/>
      <c r="N715" s="36"/>
      <c r="O715" s="36"/>
      <c r="P715" s="45"/>
      <c r="Q715" s="45"/>
      <c r="R715" s="44"/>
      <c r="S715" s="46" t="s">
        <v>37</v>
      </c>
      <c r="T715" s="30" t="str">
        <f>IFERROR(VLOOKUP(O715, '[1]CURSOS 2025'!A:B, 2, FALSE), "")</f>
        <v/>
      </c>
      <c r="U715" s="39">
        <f t="shared" si="108"/>
        <v>0</v>
      </c>
    </row>
    <row r="716" spans="1:21" s="40" customFormat="1" ht="39.950000000000003" customHeight="1" thickBot="1" x14ac:dyDescent="0.35">
      <c r="A716" s="30">
        <f t="array" ref="A716">IF(B716&lt;&gt;"",COUNTIF($B$19:B716,"&lt;&gt;"),"")</f>
        <v>626</v>
      </c>
      <c r="B716" s="41">
        <v>347</v>
      </c>
      <c r="C716" s="42" t="s">
        <v>45</v>
      </c>
      <c r="D716" s="43">
        <v>6011</v>
      </c>
      <c r="E716" s="42" t="s">
        <v>1543</v>
      </c>
      <c r="F716" s="49" t="s">
        <v>1523</v>
      </c>
      <c r="G716" s="36" t="s">
        <v>1544</v>
      </c>
      <c r="H716" s="44"/>
      <c r="I716" s="44"/>
      <c r="J716" s="44"/>
      <c r="K716" s="44"/>
      <c r="L716" s="44"/>
      <c r="M716" s="44"/>
      <c r="N716" s="36"/>
      <c r="O716" s="36"/>
      <c r="P716" s="45"/>
      <c r="Q716" s="45"/>
      <c r="R716" s="44"/>
      <c r="S716" s="46" t="s">
        <v>33</v>
      </c>
      <c r="T716" s="30" t="str">
        <f>IFERROR(VLOOKUP(O716, '[1]CURSOS 2025'!A:B, 2, FALSE), "")</f>
        <v/>
      </c>
      <c r="U716" s="39">
        <f t="shared" si="108"/>
        <v>0</v>
      </c>
    </row>
    <row r="717" spans="1:21" s="40" customFormat="1" ht="39.950000000000003" customHeight="1" thickBot="1" x14ac:dyDescent="0.35">
      <c r="A717" s="30">
        <f t="array" ref="A717">IF(B717&lt;&gt;"",COUNTIF($B$19:B717,"&lt;&gt;"),"")</f>
        <v>627</v>
      </c>
      <c r="B717" s="41">
        <v>347</v>
      </c>
      <c r="C717" s="42" t="s">
        <v>45</v>
      </c>
      <c r="D717" s="43">
        <v>5112</v>
      </c>
      <c r="E717" s="42" t="s">
        <v>1545</v>
      </c>
      <c r="F717" s="49" t="s">
        <v>1523</v>
      </c>
      <c r="G717" s="36" t="s">
        <v>1546</v>
      </c>
      <c r="H717" s="44"/>
      <c r="I717" s="44"/>
      <c r="J717" s="44"/>
      <c r="K717" s="44"/>
      <c r="L717" s="44"/>
      <c r="M717" s="44"/>
      <c r="N717" s="36"/>
      <c r="O717" s="36"/>
      <c r="P717" s="45"/>
      <c r="Q717" s="45"/>
      <c r="R717" s="44"/>
      <c r="S717" s="46" t="s">
        <v>37</v>
      </c>
      <c r="T717" s="30" t="str">
        <f>IFERROR(VLOOKUP(O717, '[1]CURSOS 2025'!A:B, 2, FALSE), "")</f>
        <v/>
      </c>
      <c r="U717" s="39">
        <f t="shared" si="108"/>
        <v>0</v>
      </c>
    </row>
    <row r="718" spans="1:21" s="40" customFormat="1" ht="39.950000000000003" customHeight="1" thickBot="1" x14ac:dyDescent="0.35">
      <c r="A718" s="30">
        <f t="array" ref="A718">IF(B718&lt;&gt;"",COUNTIF($B$19:B718,"&lt;&gt;"),"")</f>
        <v>628</v>
      </c>
      <c r="B718" s="41">
        <v>347</v>
      </c>
      <c r="C718" s="42" t="s">
        <v>45</v>
      </c>
      <c r="D718" s="43">
        <v>5166</v>
      </c>
      <c r="E718" s="42" t="s">
        <v>1547</v>
      </c>
      <c r="F718" s="49" t="s">
        <v>1523</v>
      </c>
      <c r="G718" s="36" t="s">
        <v>1548</v>
      </c>
      <c r="H718" s="44"/>
      <c r="I718" s="44"/>
      <c r="J718" s="44"/>
      <c r="K718" s="44"/>
      <c r="L718" s="44"/>
      <c r="M718" s="44"/>
      <c r="N718" s="36"/>
      <c r="O718" s="36"/>
      <c r="P718" s="45"/>
      <c r="Q718" s="45"/>
      <c r="R718" s="44"/>
      <c r="S718" s="46" t="s">
        <v>33</v>
      </c>
      <c r="T718" s="30" t="str">
        <f>IFERROR(VLOOKUP(O718, '[1]CURSOS 2025'!A:B, 2, FALSE), "")</f>
        <v/>
      </c>
      <c r="U718" s="39">
        <f t="shared" si="108"/>
        <v>0</v>
      </c>
    </row>
    <row r="719" spans="1:21" s="40" customFormat="1" ht="39.950000000000003" customHeight="1" thickBot="1" x14ac:dyDescent="0.35">
      <c r="A719" s="30">
        <f t="array" ref="A719">IF(B719&lt;&gt;"",COUNTIF($B$19:B719,"&lt;&gt;"),"")</f>
        <v>629</v>
      </c>
      <c r="B719" s="41">
        <v>347</v>
      </c>
      <c r="C719" s="42" t="s">
        <v>45</v>
      </c>
      <c r="D719" s="43">
        <v>5158</v>
      </c>
      <c r="E719" s="42" t="s">
        <v>1549</v>
      </c>
      <c r="F719" s="49" t="s">
        <v>1523</v>
      </c>
      <c r="G719" s="36" t="s">
        <v>1550</v>
      </c>
      <c r="H719" s="44"/>
      <c r="I719" s="44"/>
      <c r="J719" s="44"/>
      <c r="K719" s="44"/>
      <c r="L719" s="44"/>
      <c r="M719" s="44"/>
      <c r="N719" s="36"/>
      <c r="O719" s="36"/>
      <c r="P719" s="45"/>
      <c r="Q719" s="45"/>
      <c r="R719" s="44"/>
      <c r="S719" s="46" t="s">
        <v>33</v>
      </c>
      <c r="T719" s="30" t="str">
        <f>IFERROR(VLOOKUP(O719, '[1]CURSOS 2025'!A:B, 2, FALSE), "")</f>
        <v/>
      </c>
      <c r="U719" s="39">
        <f t="shared" si="108"/>
        <v>0</v>
      </c>
    </row>
    <row r="720" spans="1:21" s="40" customFormat="1" ht="39.950000000000003" customHeight="1" thickBot="1" x14ac:dyDescent="0.35">
      <c r="A720" s="30">
        <f t="array" ref="A720">IF(B720&lt;&gt;"",COUNTIF($B$19:B720,"&lt;&gt;"),"")</f>
        <v>630</v>
      </c>
      <c r="B720" s="41">
        <v>347</v>
      </c>
      <c r="C720" s="42" t="s">
        <v>45</v>
      </c>
      <c r="D720" s="43">
        <v>5167</v>
      </c>
      <c r="E720" s="42" t="s">
        <v>1551</v>
      </c>
      <c r="F720" s="49" t="s">
        <v>1523</v>
      </c>
      <c r="G720" s="36" t="s">
        <v>1552</v>
      </c>
      <c r="H720" s="44"/>
      <c r="I720" s="44"/>
      <c r="J720" s="44"/>
      <c r="K720" s="44"/>
      <c r="L720" s="44"/>
      <c r="M720" s="44"/>
      <c r="N720" s="36"/>
      <c r="O720" s="36"/>
      <c r="P720" s="45"/>
      <c r="Q720" s="45"/>
      <c r="R720" s="44"/>
      <c r="S720" s="46" t="s">
        <v>33</v>
      </c>
      <c r="T720" s="30" t="str">
        <f>IFERROR(VLOOKUP(O720, '[1]CURSOS 2025'!A:B, 2, FALSE), "")</f>
        <v/>
      </c>
      <c r="U720" s="39">
        <f t="shared" si="108"/>
        <v>0</v>
      </c>
    </row>
    <row r="721" spans="1:21" s="40" customFormat="1" ht="39.950000000000003" customHeight="1" thickBot="1" x14ac:dyDescent="0.35">
      <c r="A721" s="30">
        <f t="array" ref="A721">IF(B721&lt;&gt;"",COUNTIF($B$19:B721,"&lt;&gt;"),"")</f>
        <v>631</v>
      </c>
      <c r="B721" s="41">
        <v>347</v>
      </c>
      <c r="C721" s="42" t="s">
        <v>483</v>
      </c>
      <c r="D721" s="43">
        <v>3531</v>
      </c>
      <c r="E721" s="42" t="s">
        <v>1553</v>
      </c>
      <c r="F721" s="49" t="s">
        <v>1523</v>
      </c>
      <c r="G721" s="36" t="s">
        <v>1554</v>
      </c>
      <c r="H721" s="44"/>
      <c r="I721" s="44"/>
      <c r="J721" s="44"/>
      <c r="K721" s="44"/>
      <c r="L721" s="44"/>
      <c r="M721" s="44"/>
      <c r="N721" s="36"/>
      <c r="O721" s="36"/>
      <c r="P721" s="45"/>
      <c r="Q721" s="45"/>
      <c r="R721" s="44"/>
      <c r="S721" s="46" t="s">
        <v>33</v>
      </c>
      <c r="T721" s="30" t="str">
        <f>IFERROR(VLOOKUP(O721, '[1]CURSOS 2025'!A:B, 2, FALSE), "")</f>
        <v/>
      </c>
      <c r="U721" s="39">
        <f t="shared" si="108"/>
        <v>0</v>
      </c>
    </row>
    <row r="722" spans="1:21" s="40" customFormat="1" ht="39.950000000000003" customHeight="1" thickBot="1" x14ac:dyDescent="0.35">
      <c r="A722" s="30">
        <f t="array" ref="A722">IF(B722&lt;&gt;"",COUNTIF($B$19:B722,"&lt;&gt;"),"")</f>
        <v>632</v>
      </c>
      <c r="B722" s="41">
        <v>347</v>
      </c>
      <c r="C722" s="42" t="s">
        <v>864</v>
      </c>
      <c r="D722" s="43">
        <v>3738</v>
      </c>
      <c r="E722" s="42" t="s">
        <v>1555</v>
      </c>
      <c r="F722" s="49" t="s">
        <v>1523</v>
      </c>
      <c r="G722" s="36" t="s">
        <v>1556</v>
      </c>
      <c r="H722" s="44"/>
      <c r="I722" s="44"/>
      <c r="J722" s="44"/>
      <c r="K722" s="44" t="s">
        <v>231</v>
      </c>
      <c r="L722" s="44" t="s">
        <v>231</v>
      </c>
      <c r="M722" s="44" t="s">
        <v>231</v>
      </c>
      <c r="N722" s="36" t="s">
        <v>232</v>
      </c>
      <c r="O722" s="36" t="s">
        <v>871</v>
      </c>
      <c r="P722" s="45">
        <v>46062</v>
      </c>
      <c r="Q722" s="45">
        <v>46062</v>
      </c>
      <c r="R722" s="44">
        <v>2</v>
      </c>
      <c r="S722" s="46" t="s">
        <v>33</v>
      </c>
      <c r="T722" s="30" t="s">
        <v>234</v>
      </c>
      <c r="U722" s="39">
        <f>SUM(R722:R722)</f>
        <v>2</v>
      </c>
    </row>
    <row r="723" spans="1:21" s="40" customFormat="1" ht="39.950000000000003" customHeight="1" thickBot="1" x14ac:dyDescent="0.35">
      <c r="A723" s="30">
        <f t="array" ref="A723">IF(B723&lt;&gt;"",COUNTIF($B$19:B723,"&lt;&gt;"),"")</f>
        <v>633</v>
      </c>
      <c r="B723" s="41">
        <v>347</v>
      </c>
      <c r="C723" s="42" t="s">
        <v>864</v>
      </c>
      <c r="D723" s="43">
        <v>3680</v>
      </c>
      <c r="E723" s="42" t="s">
        <v>1557</v>
      </c>
      <c r="F723" s="49" t="s">
        <v>1523</v>
      </c>
      <c r="G723" s="36" t="s">
        <v>1558</v>
      </c>
      <c r="H723" s="44"/>
      <c r="I723" s="44"/>
      <c r="J723" s="44"/>
      <c r="K723" s="44" t="s">
        <v>231</v>
      </c>
      <c r="L723" s="44" t="s">
        <v>231</v>
      </c>
      <c r="M723" s="44" t="s">
        <v>231</v>
      </c>
      <c r="N723" s="36" t="s">
        <v>232</v>
      </c>
      <c r="O723" s="36" t="s">
        <v>871</v>
      </c>
      <c r="P723" s="45">
        <v>46062</v>
      </c>
      <c r="Q723" s="45">
        <v>46062</v>
      </c>
      <c r="R723" s="44">
        <v>2</v>
      </c>
      <c r="S723" s="46" t="s">
        <v>33</v>
      </c>
      <c r="T723" s="30" t="s">
        <v>234</v>
      </c>
      <c r="U723" s="39">
        <f>SUM(R723:R723)</f>
        <v>2</v>
      </c>
    </row>
    <row r="724" spans="1:21" s="40" customFormat="1" ht="39.950000000000003" customHeight="1" thickBot="1" x14ac:dyDescent="0.35">
      <c r="A724" s="30">
        <f t="array" ref="A724">IF(B724&lt;&gt;"",COUNTIF($B$19:B724,"&lt;&gt;"),"")</f>
        <v>634</v>
      </c>
      <c r="B724" s="41">
        <v>347</v>
      </c>
      <c r="C724" s="42" t="s">
        <v>864</v>
      </c>
      <c r="D724" s="43">
        <v>3645</v>
      </c>
      <c r="E724" s="42" t="s">
        <v>1559</v>
      </c>
      <c r="F724" s="49" t="s">
        <v>1523</v>
      </c>
      <c r="G724" s="36" t="s">
        <v>1560</v>
      </c>
      <c r="H724" s="44"/>
      <c r="I724" s="44"/>
      <c r="J724" s="44"/>
      <c r="K724" s="44" t="s">
        <v>231</v>
      </c>
      <c r="L724" s="44" t="s">
        <v>231</v>
      </c>
      <c r="M724" s="44" t="s">
        <v>231</v>
      </c>
      <c r="N724" s="36" t="s">
        <v>232</v>
      </c>
      <c r="O724" s="36" t="s">
        <v>871</v>
      </c>
      <c r="P724" s="45">
        <v>46062</v>
      </c>
      <c r="Q724" s="45">
        <v>46062</v>
      </c>
      <c r="R724" s="44">
        <v>2</v>
      </c>
      <c r="S724" s="46" t="s">
        <v>33</v>
      </c>
      <c r="T724" s="30" t="s">
        <v>234</v>
      </c>
      <c r="U724" s="39">
        <f>SUM(R724:R724)</f>
        <v>2</v>
      </c>
    </row>
    <row r="725" spans="1:21" s="40" customFormat="1" ht="39.950000000000003" customHeight="1" thickBot="1" x14ac:dyDescent="0.35">
      <c r="A725" s="30">
        <f t="array" ref="A725">IF(B725&lt;&gt;"",COUNTIF($B$19:B725,"&lt;&gt;"),"")</f>
        <v>635</v>
      </c>
      <c r="B725" s="41">
        <v>347</v>
      </c>
      <c r="C725" s="42" t="s">
        <v>864</v>
      </c>
      <c r="D725" s="43">
        <v>3639</v>
      </c>
      <c r="E725" s="42" t="s">
        <v>1561</v>
      </c>
      <c r="F725" s="49" t="s">
        <v>1523</v>
      </c>
      <c r="G725" s="36" t="s">
        <v>1562</v>
      </c>
      <c r="H725" s="44"/>
      <c r="I725" s="44"/>
      <c r="J725" s="44"/>
      <c r="K725" s="44" t="s">
        <v>231</v>
      </c>
      <c r="L725" s="44" t="s">
        <v>231</v>
      </c>
      <c r="M725" s="44" t="s">
        <v>231</v>
      </c>
      <c r="N725" s="36" t="s">
        <v>232</v>
      </c>
      <c r="O725" s="36" t="s">
        <v>871</v>
      </c>
      <c r="P725" s="45">
        <v>46062</v>
      </c>
      <c r="Q725" s="45">
        <v>46062</v>
      </c>
      <c r="R725" s="44">
        <v>2</v>
      </c>
      <c r="S725" s="46" t="s">
        <v>33</v>
      </c>
      <c r="T725" s="30" t="s">
        <v>234</v>
      </c>
      <c r="U725" s="39">
        <f>SUM(R725:R725)</f>
        <v>2</v>
      </c>
    </row>
    <row r="726" spans="1:21" s="40" customFormat="1" ht="39.950000000000003" customHeight="1" thickBot="1" x14ac:dyDescent="0.35">
      <c r="A726" s="30">
        <f t="array" ref="A726">IF(B726&lt;&gt;"",COUNTIF($B$19:B726,"&lt;&gt;"),"")</f>
        <v>636</v>
      </c>
      <c r="B726" s="41">
        <v>346</v>
      </c>
      <c r="C726" s="42" t="s">
        <v>1563</v>
      </c>
      <c r="D726" s="43">
        <v>3589</v>
      </c>
      <c r="E726" s="42" t="s">
        <v>1564</v>
      </c>
      <c r="F726" s="49" t="s">
        <v>1523</v>
      </c>
      <c r="G726" s="36" t="s">
        <v>1565</v>
      </c>
      <c r="H726" s="44"/>
      <c r="I726" s="44"/>
      <c r="J726" s="44"/>
      <c r="K726" s="44"/>
      <c r="L726" s="44"/>
      <c r="M726" s="44"/>
      <c r="N726" s="36"/>
      <c r="O726" s="36"/>
      <c r="P726" s="45"/>
      <c r="Q726" s="45"/>
      <c r="R726" s="44"/>
      <c r="S726" s="44" t="s">
        <v>33</v>
      </c>
      <c r="T726" s="30" t="str">
        <f>IFERROR(VLOOKUP(O726, '[1]CURSOS 2025'!A:B, 2, FALSE), "")</f>
        <v/>
      </c>
      <c r="U726" s="48">
        <f t="shared" ref="U726" si="109">SUM(R726)</f>
        <v>0</v>
      </c>
    </row>
    <row r="727" spans="1:21" s="40" customFormat="1" ht="39.950000000000003" customHeight="1" thickBot="1" x14ac:dyDescent="0.35">
      <c r="A727" s="30">
        <f t="array" ref="A727">IF(B727&lt;&gt;"",COUNTIF($B$19:B727,"&lt;&gt;"),"")</f>
        <v>637</v>
      </c>
      <c r="B727" s="41">
        <v>346</v>
      </c>
      <c r="C727" s="42" t="s">
        <v>864</v>
      </c>
      <c r="D727" s="43">
        <v>3566</v>
      </c>
      <c r="E727" s="42" t="s">
        <v>1566</v>
      </c>
      <c r="F727" s="49" t="s">
        <v>1523</v>
      </c>
      <c r="G727" s="36" t="s">
        <v>1567</v>
      </c>
      <c r="H727" s="44"/>
      <c r="I727" s="44"/>
      <c r="J727" s="44"/>
      <c r="K727" s="44" t="s">
        <v>231</v>
      </c>
      <c r="L727" s="44" t="s">
        <v>231</v>
      </c>
      <c r="M727" s="44" t="s">
        <v>231</v>
      </c>
      <c r="N727" s="36" t="s">
        <v>232</v>
      </c>
      <c r="O727" s="36" t="s">
        <v>871</v>
      </c>
      <c r="P727" s="45">
        <v>46062</v>
      </c>
      <c r="Q727" s="45">
        <v>46062</v>
      </c>
      <c r="R727" s="44">
        <v>2</v>
      </c>
      <c r="S727" s="46" t="s">
        <v>33</v>
      </c>
      <c r="T727" s="30" t="s">
        <v>234</v>
      </c>
      <c r="U727" s="39">
        <f>SUM(R727:R727)</f>
        <v>2</v>
      </c>
    </row>
    <row r="728" spans="1:21" s="40" customFormat="1" ht="39.950000000000003" customHeight="1" thickBot="1" x14ac:dyDescent="0.35">
      <c r="A728" s="30">
        <f t="array" ref="A728">IF(B728&lt;&gt;"",COUNTIF($B$19:B728,"&lt;&gt;"),"")</f>
        <v>638</v>
      </c>
      <c r="B728" s="41">
        <v>347</v>
      </c>
      <c r="C728" s="42" t="s">
        <v>1563</v>
      </c>
      <c r="D728" s="43">
        <v>3553</v>
      </c>
      <c r="E728" s="42" t="s">
        <v>1568</v>
      </c>
      <c r="F728" s="49" t="s">
        <v>1523</v>
      </c>
      <c r="G728" s="36" t="s">
        <v>1569</v>
      </c>
      <c r="H728" s="44"/>
      <c r="I728" s="44"/>
      <c r="J728" s="44"/>
      <c r="K728" s="44"/>
      <c r="L728" s="44"/>
      <c r="M728" s="44"/>
      <c r="N728" s="36"/>
      <c r="O728" s="36"/>
      <c r="P728" s="45"/>
      <c r="Q728" s="45"/>
      <c r="R728" s="44"/>
      <c r="S728" s="46" t="s">
        <v>33</v>
      </c>
      <c r="T728" s="30" t="str">
        <f>IFERROR(VLOOKUP(O728, '[1]CURSOS 2025'!A:B, 2, FALSE), "")</f>
        <v/>
      </c>
      <c r="U728" s="39">
        <f>SUM(R728:R728)</f>
        <v>0</v>
      </c>
    </row>
    <row r="729" spans="1:21" s="40" customFormat="1" ht="39.950000000000003" customHeight="1" thickBot="1" x14ac:dyDescent="0.35">
      <c r="A729" s="30">
        <f t="array" ref="A729">IF(B729&lt;&gt;"",COUNTIF($B$19:B729,"&lt;&gt;"),"")</f>
        <v>639</v>
      </c>
      <c r="B729" s="41">
        <v>347</v>
      </c>
      <c r="C729" s="42" t="s">
        <v>1563</v>
      </c>
      <c r="D729" s="43">
        <v>3540</v>
      </c>
      <c r="E729" s="42" t="s">
        <v>1570</v>
      </c>
      <c r="F729" s="49" t="s">
        <v>1523</v>
      </c>
      <c r="G729" s="36" t="s">
        <v>1571</v>
      </c>
      <c r="H729" s="44"/>
      <c r="I729" s="44"/>
      <c r="J729" s="44"/>
      <c r="K729" s="44"/>
      <c r="L729" s="44"/>
      <c r="M729" s="44"/>
      <c r="N729" s="36"/>
      <c r="O729" s="36"/>
      <c r="P729" s="45"/>
      <c r="Q729" s="45"/>
      <c r="R729" s="44"/>
      <c r="S729" s="44" t="s">
        <v>33</v>
      </c>
      <c r="T729" s="30" t="str">
        <f>IFERROR(VLOOKUP(O729, '[1]CURSOS 2025'!A:B, 2, FALSE), "")</f>
        <v/>
      </c>
      <c r="U729" s="48">
        <f t="shared" ref="U729" si="110">SUM(R729)</f>
        <v>0</v>
      </c>
    </row>
    <row r="730" spans="1:21" s="40" customFormat="1" ht="39.950000000000003" customHeight="1" thickBot="1" x14ac:dyDescent="0.35">
      <c r="A730" s="30">
        <f t="array" ref="A730">IF(B730&lt;&gt;"",COUNTIF($B$19:B730,"&lt;&gt;"),"")</f>
        <v>640</v>
      </c>
      <c r="B730" s="41">
        <v>347</v>
      </c>
      <c r="C730" s="42" t="s">
        <v>1563</v>
      </c>
      <c r="D730" s="43">
        <v>3498</v>
      </c>
      <c r="E730" s="42" t="s">
        <v>1572</v>
      </c>
      <c r="F730" s="49" t="s">
        <v>1523</v>
      </c>
      <c r="G730" s="36" t="s">
        <v>1573</v>
      </c>
      <c r="H730" s="44"/>
      <c r="I730" s="44"/>
      <c r="J730" s="44"/>
      <c r="K730" s="44" t="s">
        <v>231</v>
      </c>
      <c r="L730" s="44" t="s">
        <v>231</v>
      </c>
      <c r="M730" s="44" t="s">
        <v>231</v>
      </c>
      <c r="N730" s="36" t="s">
        <v>232</v>
      </c>
      <c r="O730" s="36" t="s">
        <v>871</v>
      </c>
      <c r="P730" s="45">
        <v>46062</v>
      </c>
      <c r="Q730" s="45">
        <v>46062</v>
      </c>
      <c r="R730" s="44">
        <v>2</v>
      </c>
      <c r="S730" s="46" t="s">
        <v>33</v>
      </c>
      <c r="T730" s="30" t="s">
        <v>234</v>
      </c>
      <c r="U730" s="39">
        <f t="shared" ref="U730:U736" si="111">SUM(R730:R730)</f>
        <v>2</v>
      </c>
    </row>
    <row r="731" spans="1:21" s="40" customFormat="1" ht="39.950000000000003" customHeight="1" thickBot="1" x14ac:dyDescent="0.35">
      <c r="A731" s="30">
        <f t="array" ref="A731">IF(B731&lt;&gt;"",COUNTIF($B$19:B731,"&lt;&gt;"),"")</f>
        <v>641</v>
      </c>
      <c r="B731" s="41">
        <v>347</v>
      </c>
      <c r="C731" s="42" t="s">
        <v>1563</v>
      </c>
      <c r="D731" s="43">
        <v>3159</v>
      </c>
      <c r="E731" s="42" t="s">
        <v>1574</v>
      </c>
      <c r="F731" s="49" t="s">
        <v>1523</v>
      </c>
      <c r="G731" s="36" t="s">
        <v>1575</v>
      </c>
      <c r="H731" s="44"/>
      <c r="I731" s="44"/>
      <c r="J731" s="44"/>
      <c r="K731" s="44" t="s">
        <v>231</v>
      </c>
      <c r="L731" s="44" t="s">
        <v>231</v>
      </c>
      <c r="M731" s="44" t="s">
        <v>231</v>
      </c>
      <c r="N731" s="36" t="s">
        <v>232</v>
      </c>
      <c r="O731" s="36" t="s">
        <v>871</v>
      </c>
      <c r="P731" s="45">
        <v>46062</v>
      </c>
      <c r="Q731" s="45">
        <v>46062</v>
      </c>
      <c r="R731" s="44">
        <v>2</v>
      </c>
      <c r="S731" s="46" t="s">
        <v>33</v>
      </c>
      <c r="T731" s="30" t="s">
        <v>234</v>
      </c>
      <c r="U731" s="39">
        <f t="shared" si="111"/>
        <v>2</v>
      </c>
    </row>
    <row r="732" spans="1:21" s="40" customFormat="1" ht="39.950000000000003" customHeight="1" thickBot="1" x14ac:dyDescent="0.35">
      <c r="A732" s="30">
        <f t="array" ref="A732">IF(B732&lt;&gt;"",COUNTIF($B$19:B732,"&lt;&gt;"),"")</f>
        <v>642</v>
      </c>
      <c r="B732" s="41">
        <v>347</v>
      </c>
      <c r="C732" s="42" t="s">
        <v>530</v>
      </c>
      <c r="D732" s="43">
        <v>3887</v>
      </c>
      <c r="E732" s="42" t="s">
        <v>1576</v>
      </c>
      <c r="F732" s="49" t="s">
        <v>1523</v>
      </c>
      <c r="G732" s="36" t="s">
        <v>1577</v>
      </c>
      <c r="H732" s="44"/>
      <c r="I732" s="44"/>
      <c r="J732" s="44"/>
      <c r="K732" s="44" t="s">
        <v>231</v>
      </c>
      <c r="L732" s="44" t="s">
        <v>231</v>
      </c>
      <c r="M732" s="44" t="s">
        <v>231</v>
      </c>
      <c r="N732" s="36" t="s">
        <v>232</v>
      </c>
      <c r="O732" s="36" t="s">
        <v>871</v>
      </c>
      <c r="P732" s="45">
        <v>46062</v>
      </c>
      <c r="Q732" s="45">
        <v>46062</v>
      </c>
      <c r="R732" s="44">
        <v>2</v>
      </c>
      <c r="S732" s="46" t="s">
        <v>33</v>
      </c>
      <c r="T732" s="30" t="s">
        <v>234</v>
      </c>
      <c r="U732" s="39">
        <f t="shared" si="111"/>
        <v>2</v>
      </c>
    </row>
    <row r="733" spans="1:21" s="40" customFormat="1" ht="39.950000000000003" customHeight="1" thickBot="1" x14ac:dyDescent="0.35">
      <c r="A733" s="30">
        <f t="array" ref="A733">IF(B733&lt;&gt;"",COUNTIF($B$19:B733,"&lt;&gt;"),"")</f>
        <v>643</v>
      </c>
      <c r="B733" s="41">
        <v>346</v>
      </c>
      <c r="C733" s="42" t="s">
        <v>1563</v>
      </c>
      <c r="D733" s="43">
        <v>3460</v>
      </c>
      <c r="E733" s="42" t="s">
        <v>1578</v>
      </c>
      <c r="F733" s="49" t="s">
        <v>1523</v>
      </c>
      <c r="G733" s="36" t="s">
        <v>1579</v>
      </c>
      <c r="H733" s="44"/>
      <c r="I733" s="44"/>
      <c r="J733" s="44"/>
      <c r="K733" s="44" t="s">
        <v>231</v>
      </c>
      <c r="L733" s="44" t="s">
        <v>231</v>
      </c>
      <c r="M733" s="44" t="s">
        <v>231</v>
      </c>
      <c r="N733" s="36" t="s">
        <v>232</v>
      </c>
      <c r="O733" s="36" t="s">
        <v>871</v>
      </c>
      <c r="P733" s="45">
        <v>46062</v>
      </c>
      <c r="Q733" s="45">
        <v>46062</v>
      </c>
      <c r="R733" s="44">
        <v>2</v>
      </c>
      <c r="S733" s="46" t="s">
        <v>33</v>
      </c>
      <c r="T733" s="30" t="s">
        <v>234</v>
      </c>
      <c r="U733" s="39">
        <f t="shared" si="111"/>
        <v>2</v>
      </c>
    </row>
    <row r="734" spans="1:21" s="40" customFormat="1" ht="39.950000000000003" customHeight="1" thickBot="1" x14ac:dyDescent="0.35">
      <c r="A734" s="30">
        <f t="array" ref="A734">IF(B734&lt;&gt;"",COUNTIF($B$19:B734,"&lt;&gt;"),"")</f>
        <v>644</v>
      </c>
      <c r="B734" s="41">
        <v>346</v>
      </c>
      <c r="C734" s="42" t="s">
        <v>1563</v>
      </c>
      <c r="D734" s="43">
        <v>1553</v>
      </c>
      <c r="E734" s="42" t="s">
        <v>1580</v>
      </c>
      <c r="F734" s="49" t="s">
        <v>1523</v>
      </c>
      <c r="G734" s="36" t="s">
        <v>1581</v>
      </c>
      <c r="H734" s="44"/>
      <c r="I734" s="44"/>
      <c r="J734" s="44"/>
      <c r="K734" s="44" t="s">
        <v>231</v>
      </c>
      <c r="L734" s="44" t="s">
        <v>231</v>
      </c>
      <c r="M734" s="44" t="s">
        <v>231</v>
      </c>
      <c r="N734" s="36" t="s">
        <v>232</v>
      </c>
      <c r="O734" s="36" t="s">
        <v>871</v>
      </c>
      <c r="P734" s="45">
        <v>46062</v>
      </c>
      <c r="Q734" s="45">
        <v>46062</v>
      </c>
      <c r="R734" s="44">
        <v>2</v>
      </c>
      <c r="S734" s="46" t="s">
        <v>33</v>
      </c>
      <c r="T734" s="30" t="s">
        <v>234</v>
      </c>
      <c r="U734" s="39">
        <f t="shared" si="111"/>
        <v>2</v>
      </c>
    </row>
    <row r="735" spans="1:21" s="40" customFormat="1" ht="39.950000000000003" customHeight="1" thickBot="1" x14ac:dyDescent="0.35">
      <c r="A735" s="30">
        <f t="array" ref="A735">IF(B735&lt;&gt;"",COUNTIF($B$19:B735,"&lt;&gt;"),"")</f>
        <v>645</v>
      </c>
      <c r="B735" s="41">
        <v>345</v>
      </c>
      <c r="C735" s="42" t="s">
        <v>1538</v>
      </c>
      <c r="D735" s="43" t="s">
        <v>1582</v>
      </c>
      <c r="E735" s="42" t="s">
        <v>1583</v>
      </c>
      <c r="F735" s="49" t="s">
        <v>1523</v>
      </c>
      <c r="G735" s="36" t="s">
        <v>1584</v>
      </c>
      <c r="H735" s="44"/>
      <c r="I735" s="44"/>
      <c r="J735" s="44"/>
      <c r="K735" s="44"/>
      <c r="L735" s="44"/>
      <c r="M735" s="44"/>
      <c r="N735" s="36"/>
      <c r="O735" s="36"/>
      <c r="P735" s="45"/>
      <c r="Q735" s="45"/>
      <c r="R735" s="44"/>
      <c r="S735" s="46" t="s">
        <v>33</v>
      </c>
      <c r="T735" s="30" t="str">
        <f>IFERROR(VLOOKUP(O735, '[1]CURSOS 2025'!A:B, 2, FALSE), "")</f>
        <v/>
      </c>
      <c r="U735" s="39">
        <f t="shared" si="111"/>
        <v>0</v>
      </c>
    </row>
    <row r="736" spans="1:21" s="40" customFormat="1" ht="39.950000000000003" customHeight="1" thickBot="1" x14ac:dyDescent="0.35">
      <c r="A736" s="30">
        <f t="array" ref="A736">IF(B736&lt;&gt;"",COUNTIF($B$19:B736,"&lt;&gt;"),"")</f>
        <v>646</v>
      </c>
      <c r="B736" s="41">
        <v>345</v>
      </c>
      <c r="C736" s="42" t="s">
        <v>864</v>
      </c>
      <c r="D736" s="43" t="s">
        <v>1585</v>
      </c>
      <c r="E736" s="42" t="s">
        <v>1586</v>
      </c>
      <c r="F736" s="49" t="s">
        <v>1523</v>
      </c>
      <c r="G736" s="36" t="s">
        <v>1587</v>
      </c>
      <c r="H736" s="44"/>
      <c r="I736" s="44"/>
      <c r="J736" s="44"/>
      <c r="K736" s="44"/>
      <c r="L736" s="44"/>
      <c r="M736" s="44"/>
      <c r="N736" s="36"/>
      <c r="O736" s="36"/>
      <c r="P736" s="45"/>
      <c r="Q736" s="45"/>
      <c r="R736" s="44"/>
      <c r="S736" s="46" t="s">
        <v>33</v>
      </c>
      <c r="T736" s="30" t="str">
        <f>IFERROR(VLOOKUP(O736, '[1]CURSOS 2025'!A:B, 2, FALSE), "")</f>
        <v/>
      </c>
      <c r="U736" s="39">
        <f t="shared" si="111"/>
        <v>0</v>
      </c>
    </row>
    <row r="737" spans="1:21" s="40" customFormat="1" ht="39.950000000000003" customHeight="1" thickBot="1" x14ac:dyDescent="0.35">
      <c r="A737" s="30">
        <f t="array" ref="A737">IF(B737&lt;&gt;"",COUNTIF($B$19:B737,"&lt;&gt;"),"")</f>
        <v>647</v>
      </c>
      <c r="B737" s="41">
        <v>345</v>
      </c>
      <c r="C737" s="42" t="s">
        <v>45</v>
      </c>
      <c r="D737" s="43" t="s">
        <v>1588</v>
      </c>
      <c r="E737" s="42" t="s">
        <v>1589</v>
      </c>
      <c r="F737" s="49" t="s">
        <v>1523</v>
      </c>
      <c r="G737" s="36" t="s">
        <v>1590</v>
      </c>
      <c r="H737" s="44"/>
      <c r="I737" s="44"/>
      <c r="J737" s="44"/>
      <c r="K737" s="44"/>
      <c r="L737" s="44"/>
      <c r="M737" s="44"/>
      <c r="N737" s="36"/>
      <c r="O737" s="36"/>
      <c r="P737" s="45"/>
      <c r="Q737" s="45"/>
      <c r="R737" s="44"/>
      <c r="S737" s="44" t="s">
        <v>33</v>
      </c>
      <c r="T737" s="30" t="str">
        <f>IFERROR(VLOOKUP(O737, '[1]CURSOS 2025'!A:B, 2, FALSE), "")</f>
        <v/>
      </c>
      <c r="U737" s="48">
        <f t="shared" ref="U737:U738" si="112">SUM(R737)</f>
        <v>0</v>
      </c>
    </row>
    <row r="738" spans="1:21" s="40" customFormat="1" ht="39.950000000000003" customHeight="1" thickBot="1" x14ac:dyDescent="0.45">
      <c r="A738" s="30">
        <f t="array" ref="A738">IF(B738&lt;&gt;"",COUNTIF($B$19:B738,"&lt;&gt;"),"")</f>
        <v>648</v>
      </c>
      <c r="B738" s="41">
        <v>345</v>
      </c>
      <c r="C738" s="42" t="s">
        <v>45</v>
      </c>
      <c r="D738" s="43" t="s">
        <v>1591</v>
      </c>
      <c r="E738" s="42" t="s">
        <v>1592</v>
      </c>
      <c r="F738" s="49" t="s">
        <v>1523</v>
      </c>
      <c r="G738" s="67" t="s">
        <v>1524</v>
      </c>
      <c r="H738" s="44"/>
      <c r="I738" s="44"/>
      <c r="J738" s="44"/>
      <c r="K738" s="44"/>
      <c r="L738" s="44"/>
      <c r="M738" s="44"/>
      <c r="N738" s="36"/>
      <c r="O738" s="36"/>
      <c r="P738" s="45"/>
      <c r="Q738" s="45"/>
      <c r="R738" s="44"/>
      <c r="S738" s="44" t="s">
        <v>33</v>
      </c>
      <c r="T738" s="30" t="str">
        <f>IFERROR(VLOOKUP(O738, '[1]CURSOS 2025'!A:B, 2, FALSE), "")</f>
        <v/>
      </c>
      <c r="U738" s="48">
        <f t="shared" si="112"/>
        <v>0</v>
      </c>
    </row>
    <row r="739" spans="1:21" s="40" customFormat="1" ht="39.950000000000003" customHeight="1" thickBot="1" x14ac:dyDescent="0.45">
      <c r="A739" s="30">
        <f t="array" ref="A739">IF(B739&lt;&gt;"",COUNTIF($B$19:B739,"&lt;&gt;"),"")</f>
        <v>649</v>
      </c>
      <c r="B739" s="41">
        <v>345</v>
      </c>
      <c r="C739" s="42" t="s">
        <v>1538</v>
      </c>
      <c r="D739" s="43" t="s">
        <v>1593</v>
      </c>
      <c r="E739" s="42" t="s">
        <v>1594</v>
      </c>
      <c r="F739" s="49" t="s">
        <v>1523</v>
      </c>
      <c r="G739" s="67"/>
      <c r="H739" s="44"/>
      <c r="I739" s="44"/>
      <c r="J739" s="44"/>
      <c r="K739" s="44"/>
      <c r="L739" s="44"/>
      <c r="M739" s="44"/>
      <c r="N739" s="36"/>
      <c r="O739" s="36"/>
      <c r="P739" s="45"/>
      <c r="Q739" s="45"/>
      <c r="R739" s="44"/>
      <c r="S739" s="46" t="s">
        <v>33</v>
      </c>
      <c r="T739" s="30" t="str">
        <f>IFERROR(VLOOKUP(O739, '[1]CURSOS 2025'!A:B, 2, FALSE), "")</f>
        <v/>
      </c>
      <c r="U739" s="39">
        <f>SUM(R739:R739)</f>
        <v>0</v>
      </c>
    </row>
    <row r="740" spans="1:21" s="40" customFormat="1" ht="39.75" customHeight="1" thickBot="1" x14ac:dyDescent="0.45">
      <c r="A740" s="30">
        <f t="array" ref="A740">IF(B740&lt;&gt;"",COUNTIF($B$19:B740,"&lt;&gt;"),"")</f>
        <v>650</v>
      </c>
      <c r="B740" s="41">
        <v>347</v>
      </c>
      <c r="C740" s="42" t="s">
        <v>483</v>
      </c>
      <c r="D740" s="43" t="s">
        <v>1595</v>
      </c>
      <c r="E740" s="42" t="s">
        <v>1596</v>
      </c>
      <c r="F740" s="49" t="s">
        <v>1523</v>
      </c>
      <c r="G740" s="67"/>
      <c r="H740" s="44"/>
      <c r="I740" s="44"/>
      <c r="J740" s="44"/>
      <c r="K740" s="44"/>
      <c r="L740" s="44"/>
      <c r="M740" s="44"/>
      <c r="N740" s="36"/>
      <c r="O740" s="36"/>
      <c r="P740" s="45"/>
      <c r="Q740" s="45"/>
      <c r="R740" s="44"/>
      <c r="S740" s="46" t="s">
        <v>33</v>
      </c>
      <c r="T740" s="30" t="str">
        <f>IFERROR(VLOOKUP(O740, '[1]CURSOS 2025'!A:B, 2, FALSE), "")</f>
        <v/>
      </c>
      <c r="U740" s="39">
        <f>SUM(R740:R740)</f>
        <v>0</v>
      </c>
    </row>
    <row r="741" spans="1:21" s="40" customFormat="1" ht="39.950000000000003" customHeight="1" thickBot="1" x14ac:dyDescent="0.45">
      <c r="A741" s="30">
        <f t="array" ref="A741">IF(B741&lt;&gt;"",COUNTIF($B$19:B741,"&lt;&gt;"),"")</f>
        <v>651</v>
      </c>
      <c r="B741" s="41">
        <v>345</v>
      </c>
      <c r="C741" s="42" t="s">
        <v>1538</v>
      </c>
      <c r="D741" s="43" t="s">
        <v>1597</v>
      </c>
      <c r="E741" s="42" t="s">
        <v>1598</v>
      </c>
      <c r="F741" s="49" t="s">
        <v>1523</v>
      </c>
      <c r="G741" s="67"/>
      <c r="H741" s="44"/>
      <c r="I741" s="44"/>
      <c r="J741" s="44"/>
      <c r="K741" s="44"/>
      <c r="L741" s="44"/>
      <c r="M741" s="44"/>
      <c r="N741" s="36"/>
      <c r="O741" s="36"/>
      <c r="P741" s="45"/>
      <c r="Q741" s="45"/>
      <c r="R741" s="44"/>
      <c r="S741" s="46" t="s">
        <v>33</v>
      </c>
      <c r="T741" s="30" t="str">
        <f>IFERROR(VLOOKUP(O741, '[1]CURSOS 2025'!A:B, 2, FALSE), "")</f>
        <v/>
      </c>
      <c r="U741" s="39">
        <f>SUM(R741:R741)</f>
        <v>0</v>
      </c>
    </row>
    <row r="742" spans="1:21" s="40" customFormat="1" ht="39.950000000000003" customHeight="1" thickBot="1" x14ac:dyDescent="0.45">
      <c r="A742" s="30">
        <f t="array" ref="A742">IF(B742&lt;&gt;"",COUNTIF($B$19:B742,"&lt;&gt;"),"")</f>
        <v>652</v>
      </c>
      <c r="B742" s="41">
        <v>345</v>
      </c>
      <c r="C742" s="42" t="s">
        <v>1538</v>
      </c>
      <c r="D742" s="43" t="s">
        <v>1599</v>
      </c>
      <c r="E742" s="42" t="s">
        <v>1600</v>
      </c>
      <c r="F742" s="49" t="s">
        <v>1523</v>
      </c>
      <c r="G742" s="67"/>
      <c r="H742" s="44"/>
      <c r="I742" s="44"/>
      <c r="J742" s="44"/>
      <c r="K742" s="44"/>
      <c r="L742" s="44"/>
      <c r="M742" s="44"/>
      <c r="N742" s="36"/>
      <c r="O742" s="36"/>
      <c r="P742" s="45"/>
      <c r="Q742" s="45"/>
      <c r="R742" s="44"/>
      <c r="S742" s="46" t="s">
        <v>33</v>
      </c>
      <c r="T742" s="30" t="str">
        <f>IFERROR(VLOOKUP(O742, '[1]CURSOS 2025'!A:B, 2, FALSE), "")</f>
        <v/>
      </c>
      <c r="U742" s="39">
        <f>SUM(R742:R742)</f>
        <v>0</v>
      </c>
    </row>
    <row r="743" spans="1:21" s="59" customFormat="1" ht="39.950000000000003" customHeight="1" thickBot="1" x14ac:dyDescent="0.35">
      <c r="A743" s="30" t="str">
        <f t="array" ref="A743">IF(B743&lt;&gt;"",COUNTIF($B$19:B743,"&lt;&gt;"),"")</f>
        <v/>
      </c>
      <c r="B743" s="50"/>
      <c r="C743" s="51"/>
      <c r="D743" s="52"/>
      <c r="E743" s="51"/>
      <c r="F743" s="53"/>
      <c r="G743" s="53"/>
      <c r="H743" s="54"/>
      <c r="I743" s="54"/>
      <c r="J743" s="54"/>
      <c r="K743" s="54"/>
      <c r="L743" s="54"/>
      <c r="M743" s="54"/>
      <c r="N743" s="55"/>
      <c r="O743" s="55"/>
      <c r="P743" s="56"/>
      <c r="Q743" s="56"/>
      <c r="R743" s="54"/>
      <c r="S743" s="54"/>
      <c r="T743" s="57" t="str">
        <f>IFERROR(VLOOKUP(O743, '[1]CURSOS 2025'!A:B, 2, FALSE), "")</f>
        <v/>
      </c>
      <c r="U743" s="79"/>
    </row>
    <row r="744" spans="1:21" s="40" customFormat="1" ht="39.950000000000003" customHeight="1" thickBot="1" x14ac:dyDescent="0.35">
      <c r="A744" s="30">
        <f t="array" ref="A744">IF(B744&lt;&gt;"",COUNTIF($B$19:B744,"&lt;&gt;"),"")</f>
        <v>653</v>
      </c>
      <c r="B744" s="41">
        <v>915</v>
      </c>
      <c r="C744" s="42" t="s">
        <v>57</v>
      </c>
      <c r="D744" s="43">
        <v>6051</v>
      </c>
      <c r="E744" s="42" t="s">
        <v>1601</v>
      </c>
      <c r="F744" s="49" t="s">
        <v>1602</v>
      </c>
      <c r="G744" s="36" t="s">
        <v>1603</v>
      </c>
      <c r="H744" s="44"/>
      <c r="I744" s="44"/>
      <c r="J744" s="44"/>
      <c r="K744" s="44"/>
      <c r="L744" s="44"/>
      <c r="M744" s="44"/>
      <c r="N744" s="36"/>
      <c r="O744" s="36"/>
      <c r="P744" s="45"/>
      <c r="Q744" s="45"/>
      <c r="R744" s="44"/>
      <c r="S744" s="46" t="s">
        <v>37</v>
      </c>
      <c r="T744" s="30" t="str">
        <f>IFERROR(VLOOKUP(O744, '[1]CURSOS 2025'!A:B, 2, FALSE), "")</f>
        <v/>
      </c>
      <c r="U744" s="39">
        <f>SUM(R744:R744)</f>
        <v>0</v>
      </c>
    </row>
    <row r="745" spans="1:21" s="40" customFormat="1" ht="39.950000000000003" customHeight="1" thickBot="1" x14ac:dyDescent="0.35">
      <c r="A745" s="30">
        <f t="array" ref="A745">IF(B745&lt;&gt;"",COUNTIF($B$19:B745,"&lt;&gt;"),"")</f>
        <v>654</v>
      </c>
      <c r="B745" s="41">
        <v>915</v>
      </c>
      <c r="C745" s="42" t="s">
        <v>1493</v>
      </c>
      <c r="D745" s="43" t="s">
        <v>1604</v>
      </c>
      <c r="E745" s="42" t="s">
        <v>1605</v>
      </c>
      <c r="F745" s="49" t="s">
        <v>1602</v>
      </c>
      <c r="G745" s="36" t="s">
        <v>1606</v>
      </c>
      <c r="H745" s="44"/>
      <c r="I745" s="44"/>
      <c r="J745" s="44"/>
      <c r="K745" s="44"/>
      <c r="L745" s="44"/>
      <c r="M745" s="44"/>
      <c r="N745" s="36"/>
      <c r="O745" s="36"/>
      <c r="P745" s="45"/>
      <c r="Q745" s="45"/>
      <c r="R745" s="44"/>
      <c r="S745" s="44" t="s">
        <v>37</v>
      </c>
      <c r="T745" s="30" t="str">
        <f>IFERROR(VLOOKUP(O745, '[1]CURSOS 2025'!A:B, 2, FALSE), "")</f>
        <v/>
      </c>
      <c r="U745" s="48">
        <f t="shared" ref="U745" si="113">SUM(R745)</f>
        <v>0</v>
      </c>
    </row>
    <row r="746" spans="1:21" s="40" customFormat="1" ht="39.950000000000003" customHeight="1" thickBot="1" x14ac:dyDescent="0.35">
      <c r="A746" s="30">
        <f t="array" ref="A746">IF(B746&lt;&gt;"",COUNTIF($B$19:B746,"&lt;&gt;"),"")</f>
        <v>655</v>
      </c>
      <c r="B746" s="41">
        <v>915</v>
      </c>
      <c r="C746" s="42" t="s">
        <v>1718</v>
      </c>
      <c r="D746" s="43" t="s">
        <v>1719</v>
      </c>
      <c r="E746" s="42" t="s">
        <v>1720</v>
      </c>
      <c r="F746" s="49" t="s">
        <v>1602</v>
      </c>
      <c r="G746" s="36"/>
      <c r="H746" s="44" t="s">
        <v>231</v>
      </c>
      <c r="I746" s="44" t="s">
        <v>231</v>
      </c>
      <c r="J746" s="44" t="s">
        <v>231</v>
      </c>
      <c r="K746" s="44"/>
      <c r="L746" s="44"/>
      <c r="M746" s="44"/>
      <c r="N746" s="36" t="s">
        <v>1722</v>
      </c>
      <c r="O746" s="36" t="s">
        <v>1721</v>
      </c>
      <c r="P746" s="45">
        <v>46104</v>
      </c>
      <c r="Q746" s="45">
        <v>46104</v>
      </c>
      <c r="R746" s="44">
        <v>1</v>
      </c>
      <c r="S746" s="46" t="s">
        <v>37</v>
      </c>
      <c r="T746" s="30" t="s">
        <v>234</v>
      </c>
      <c r="U746" s="221">
        <f>SUM(R746:R749)</f>
        <v>4</v>
      </c>
    </row>
    <row r="747" spans="1:21" s="40" customFormat="1" ht="39.950000000000003" customHeight="1" thickBot="1" x14ac:dyDescent="0.35">
      <c r="A747" s="30" t="str">
        <f t="array" ref="A747">IF(B747&lt;&gt;"",COUNTIF($B$19:B747,"&lt;&gt;"),"")</f>
        <v/>
      </c>
      <c r="B747" s="41"/>
      <c r="C747" s="42"/>
      <c r="D747" s="43"/>
      <c r="E747" s="42"/>
      <c r="F747" s="49"/>
      <c r="G747" s="36"/>
      <c r="H747" s="44" t="s">
        <v>231</v>
      </c>
      <c r="I747" s="44" t="s">
        <v>231</v>
      </c>
      <c r="J747" s="44" t="s">
        <v>231</v>
      </c>
      <c r="K747" s="44"/>
      <c r="L747" s="44"/>
      <c r="M747" s="44"/>
      <c r="N747" s="36" t="s">
        <v>1722</v>
      </c>
      <c r="O747" s="36" t="s">
        <v>1724</v>
      </c>
      <c r="P747" s="45">
        <v>46104</v>
      </c>
      <c r="Q747" s="45">
        <v>46104</v>
      </c>
      <c r="R747" s="44">
        <v>1</v>
      </c>
      <c r="S747" s="46" t="s">
        <v>37</v>
      </c>
      <c r="T747" s="30" t="s">
        <v>234</v>
      </c>
      <c r="U747" s="222"/>
    </row>
    <row r="748" spans="1:21" s="40" customFormat="1" ht="39.950000000000003" customHeight="1" thickBot="1" x14ac:dyDescent="0.35">
      <c r="A748" s="30" t="str">
        <f t="array" ref="A748">IF(B748&lt;&gt;"",COUNTIF($B$19:B748,"&lt;&gt;"),"")</f>
        <v/>
      </c>
      <c r="B748" s="41"/>
      <c r="C748" s="42"/>
      <c r="D748" s="43"/>
      <c r="E748" s="42"/>
      <c r="F748" s="49"/>
      <c r="G748" s="36"/>
      <c r="H748" s="44" t="s">
        <v>231</v>
      </c>
      <c r="I748" s="44" t="s">
        <v>231</v>
      </c>
      <c r="J748" s="44" t="s">
        <v>231</v>
      </c>
      <c r="K748" s="44"/>
      <c r="L748" s="44"/>
      <c r="M748" s="44"/>
      <c r="N748" s="36" t="s">
        <v>1722</v>
      </c>
      <c r="O748" s="36" t="s">
        <v>1725</v>
      </c>
      <c r="P748" s="45">
        <v>46104</v>
      </c>
      <c r="Q748" s="45">
        <v>46104</v>
      </c>
      <c r="R748" s="44">
        <v>1</v>
      </c>
      <c r="S748" s="46" t="s">
        <v>37</v>
      </c>
      <c r="T748" s="30" t="s">
        <v>234</v>
      </c>
      <c r="U748" s="222"/>
    </row>
    <row r="749" spans="1:21" s="40" customFormat="1" ht="39.950000000000003" customHeight="1" thickBot="1" x14ac:dyDescent="0.35">
      <c r="A749" s="30"/>
      <c r="B749" s="41"/>
      <c r="C749" s="42"/>
      <c r="D749" s="43"/>
      <c r="E749" s="42"/>
      <c r="F749" s="49"/>
      <c r="G749" s="36"/>
      <c r="H749" s="44" t="s">
        <v>231</v>
      </c>
      <c r="I749" s="44" t="s">
        <v>231</v>
      </c>
      <c r="J749" s="44" t="s">
        <v>231</v>
      </c>
      <c r="K749" s="44"/>
      <c r="L749" s="44"/>
      <c r="M749" s="44"/>
      <c r="N749" s="36" t="s">
        <v>1722</v>
      </c>
      <c r="O749" s="36" t="s">
        <v>2315</v>
      </c>
      <c r="P749" s="45">
        <v>46125</v>
      </c>
      <c r="Q749" s="45">
        <v>46125</v>
      </c>
      <c r="R749" s="44">
        <v>1</v>
      </c>
      <c r="S749" s="46" t="s">
        <v>37</v>
      </c>
      <c r="T749" s="30" t="s">
        <v>234</v>
      </c>
      <c r="U749" s="223"/>
    </row>
    <row r="750" spans="1:21" s="40" customFormat="1" ht="39.950000000000003" customHeight="1" thickBot="1" x14ac:dyDescent="0.35">
      <c r="A750" s="30">
        <f t="array" ref="A750">IF(B750&lt;&gt;"",COUNTIF($B$19:B750,"&lt;&gt;"),"")</f>
        <v>656</v>
      </c>
      <c r="B750" s="41">
        <v>915</v>
      </c>
      <c r="C750" s="42" t="s">
        <v>45</v>
      </c>
      <c r="D750" s="43" t="s">
        <v>1607</v>
      </c>
      <c r="E750" s="42" t="s">
        <v>1608</v>
      </c>
      <c r="F750" s="49" t="s">
        <v>1602</v>
      </c>
      <c r="G750" s="36" t="s">
        <v>1609</v>
      </c>
      <c r="H750" s="44"/>
      <c r="I750" s="44"/>
      <c r="J750" s="44"/>
      <c r="K750" s="44"/>
      <c r="L750" s="44"/>
      <c r="M750" s="44"/>
      <c r="N750" s="36"/>
      <c r="O750" s="36"/>
      <c r="P750" s="45"/>
      <c r="Q750" s="45"/>
      <c r="R750" s="44"/>
      <c r="S750" s="46" t="s">
        <v>37</v>
      </c>
      <c r="T750" s="30" t="str">
        <f>IFERROR(VLOOKUP(O750, '[1]CURSOS 2025'!A:B, 2, FALSE), "")</f>
        <v/>
      </c>
      <c r="U750" s="39">
        <f>SUM(R750:R750)</f>
        <v>0</v>
      </c>
    </row>
    <row r="751" spans="1:21" s="40" customFormat="1" ht="39.950000000000003" customHeight="1" thickBot="1" x14ac:dyDescent="0.35">
      <c r="A751" s="30">
        <f t="array" ref="A751">IF(B751&lt;&gt;"",COUNTIF($B$19:B751,"&lt;&gt;"),"")</f>
        <v>657</v>
      </c>
      <c r="B751" s="41">
        <v>915</v>
      </c>
      <c r="C751" s="42" t="s">
        <v>141</v>
      </c>
      <c r="D751" s="43" t="s">
        <v>1610</v>
      </c>
      <c r="E751" s="42" t="s">
        <v>1611</v>
      </c>
      <c r="F751" s="49" t="s">
        <v>1602</v>
      </c>
      <c r="G751" s="36" t="s">
        <v>1612</v>
      </c>
      <c r="H751" s="44"/>
      <c r="I751" s="44"/>
      <c r="J751" s="44"/>
      <c r="K751" s="44"/>
      <c r="L751" s="44"/>
      <c r="M751" s="44"/>
      <c r="N751" s="36"/>
      <c r="O751" s="36"/>
      <c r="P751" s="45"/>
      <c r="Q751" s="45"/>
      <c r="R751" s="44"/>
      <c r="S751" s="46" t="s">
        <v>33</v>
      </c>
      <c r="T751" s="30" t="str">
        <f>IFERROR(VLOOKUP(O751, '[1]CURSOS 2025'!A:B, 2, FALSE), "")</f>
        <v/>
      </c>
      <c r="U751" s="39">
        <f>SUM(R751:R751)</f>
        <v>0</v>
      </c>
    </row>
    <row r="752" spans="1:21" s="40" customFormat="1" ht="39.950000000000003" customHeight="1" thickBot="1" x14ac:dyDescent="0.35">
      <c r="A752" s="30">
        <f t="array" ref="A752">IF(B752&lt;&gt;"",COUNTIF($B$19:B752,"&lt;&gt;"),"")</f>
        <v>658</v>
      </c>
      <c r="B752" s="41">
        <v>915</v>
      </c>
      <c r="C752" s="42" t="s">
        <v>1613</v>
      </c>
      <c r="D752" s="43" t="s">
        <v>1614</v>
      </c>
      <c r="E752" s="42" t="s">
        <v>1615</v>
      </c>
      <c r="F752" s="49" t="s">
        <v>1602</v>
      </c>
      <c r="G752" s="36" t="s">
        <v>1616</v>
      </c>
      <c r="H752" s="44"/>
      <c r="I752" s="44"/>
      <c r="J752" s="44"/>
      <c r="K752" s="44"/>
      <c r="L752" s="44"/>
      <c r="M752" s="44"/>
      <c r="N752" s="36"/>
      <c r="O752" s="36"/>
      <c r="P752" s="45"/>
      <c r="Q752" s="45"/>
      <c r="R752" s="44"/>
      <c r="S752" s="46" t="s">
        <v>33</v>
      </c>
      <c r="T752" s="30" t="str">
        <f>IFERROR(VLOOKUP(O752, '[1]CURSOS 2025'!A:B, 2, FALSE), "")</f>
        <v/>
      </c>
      <c r="U752" s="39">
        <f>SUM(R752:R752)</f>
        <v>0</v>
      </c>
    </row>
    <row r="753" spans="1:21" s="40" customFormat="1" ht="39.950000000000003" customHeight="1" thickBot="1" x14ac:dyDescent="0.35">
      <c r="A753" s="30">
        <f t="array" ref="A753">IF(B753&lt;&gt;"",COUNTIF($B$19:B753,"&lt;&gt;"),"")</f>
        <v>659</v>
      </c>
      <c r="B753" s="41">
        <v>915</v>
      </c>
      <c r="C753" s="42" t="s">
        <v>483</v>
      </c>
      <c r="D753" s="43" t="s">
        <v>1617</v>
      </c>
      <c r="E753" s="42" t="s">
        <v>1618</v>
      </c>
      <c r="F753" s="49" t="s">
        <v>1602</v>
      </c>
      <c r="G753" s="36" t="s">
        <v>1619</v>
      </c>
      <c r="H753" s="44"/>
      <c r="I753" s="44"/>
      <c r="J753" s="44"/>
      <c r="K753" s="44"/>
      <c r="L753" s="44"/>
      <c r="M753" s="44"/>
      <c r="N753" s="36"/>
      <c r="O753" s="36"/>
      <c r="P753" s="45"/>
      <c r="Q753" s="45"/>
      <c r="R753" s="44"/>
      <c r="S753" s="46" t="s">
        <v>37</v>
      </c>
      <c r="T753" s="30" t="str">
        <f>IFERROR(VLOOKUP(O753, '[1]CURSOS 2025'!A:B, 2, FALSE), "")</f>
        <v/>
      </c>
      <c r="U753" s="39">
        <f>SUM(R753:R753)</f>
        <v>0</v>
      </c>
    </row>
    <row r="754" spans="1:21" s="40" customFormat="1" ht="39.950000000000003" customHeight="1" thickBot="1" x14ac:dyDescent="0.35">
      <c r="A754" s="30">
        <f t="array" ref="A754">IF(B754&lt;&gt;"",COUNTIF($B$19:B754,"&lt;&gt;"),"")</f>
        <v>660</v>
      </c>
      <c r="B754" s="41">
        <v>915</v>
      </c>
      <c r="C754" s="42" t="s">
        <v>38</v>
      </c>
      <c r="D754" s="43" t="s">
        <v>1620</v>
      </c>
      <c r="E754" s="42" t="s">
        <v>1621</v>
      </c>
      <c r="F754" s="49" t="s">
        <v>1602</v>
      </c>
      <c r="G754" s="36" t="s">
        <v>1622</v>
      </c>
      <c r="H754" s="44"/>
      <c r="I754" s="44"/>
      <c r="J754" s="44"/>
      <c r="K754" s="44"/>
      <c r="L754" s="44"/>
      <c r="M754" s="44"/>
      <c r="N754" s="36"/>
      <c r="O754" s="36"/>
      <c r="P754" s="45"/>
      <c r="Q754" s="45"/>
      <c r="R754" s="44"/>
      <c r="S754" s="44" t="s">
        <v>37</v>
      </c>
      <c r="T754" s="30" t="str">
        <f>IFERROR(VLOOKUP(O754, '[1]CURSOS 2025'!A:B, 2, FALSE), "")</f>
        <v/>
      </c>
      <c r="U754" s="48">
        <f t="shared" ref="U754:U755" si="114">SUM(R754)</f>
        <v>0</v>
      </c>
    </row>
    <row r="755" spans="1:21" s="40" customFormat="1" ht="39.950000000000003" customHeight="1" thickBot="1" x14ac:dyDescent="0.35">
      <c r="A755" s="30">
        <f t="array" ref="A755">IF(B755&lt;&gt;"",COUNTIF($B$19:B755,"&lt;&gt;"),"")</f>
        <v>661</v>
      </c>
      <c r="B755" s="41">
        <v>915</v>
      </c>
      <c r="C755" s="42" t="s">
        <v>34</v>
      </c>
      <c r="D755" s="43">
        <v>20823</v>
      </c>
      <c r="E755" s="42" t="s">
        <v>1623</v>
      </c>
      <c r="F755" s="49" t="s">
        <v>1602</v>
      </c>
      <c r="G755" s="36" t="s">
        <v>1624</v>
      </c>
      <c r="H755" s="44"/>
      <c r="I755" s="44"/>
      <c r="J755" s="44"/>
      <c r="K755" s="44" t="s">
        <v>231</v>
      </c>
      <c r="L755" s="44" t="s">
        <v>231</v>
      </c>
      <c r="M755" s="44" t="s">
        <v>231</v>
      </c>
      <c r="N755" s="36" t="s">
        <v>1537</v>
      </c>
      <c r="O755" s="36" t="s">
        <v>1625</v>
      </c>
      <c r="P755" s="45">
        <v>46055</v>
      </c>
      <c r="Q755" s="45">
        <v>46055</v>
      </c>
      <c r="R755" s="44">
        <v>30</v>
      </c>
      <c r="S755" s="44" t="s">
        <v>37</v>
      </c>
      <c r="T755" s="30" t="s">
        <v>234</v>
      </c>
      <c r="U755" s="48">
        <f t="shared" si="114"/>
        <v>30</v>
      </c>
    </row>
    <row r="756" spans="1:21" s="40" customFormat="1" ht="39.950000000000003" customHeight="1" thickBot="1" x14ac:dyDescent="0.35">
      <c r="A756" s="30">
        <f t="array" ref="A756">IF(B756&lt;&gt;"",COUNTIF($B$19:B756,"&lt;&gt;"),"")</f>
        <v>662</v>
      </c>
      <c r="B756" s="41">
        <v>915</v>
      </c>
      <c r="C756" s="42" t="s">
        <v>38</v>
      </c>
      <c r="D756" s="43">
        <v>206235</v>
      </c>
      <c r="E756" s="42" t="s">
        <v>1626</v>
      </c>
      <c r="F756" s="49" t="s">
        <v>1602</v>
      </c>
      <c r="G756" s="36" t="s">
        <v>1627</v>
      </c>
      <c r="H756" s="44"/>
      <c r="I756" s="44"/>
      <c r="J756" s="44"/>
      <c r="K756" s="44"/>
      <c r="L756" s="44"/>
      <c r="M756" s="44"/>
      <c r="N756" s="36"/>
      <c r="O756" s="36"/>
      <c r="P756" s="45"/>
      <c r="Q756" s="45"/>
      <c r="R756" s="44"/>
      <c r="S756" s="46" t="s">
        <v>33</v>
      </c>
      <c r="T756" s="30" t="str">
        <f>IFERROR(VLOOKUP(O756, '[1]CURSOS 2025'!A:B, 2, FALSE), "")</f>
        <v/>
      </c>
      <c r="U756" s="39">
        <f>SUM(R756:R756)</f>
        <v>0</v>
      </c>
    </row>
    <row r="757" spans="1:21" s="40" customFormat="1" ht="39.75" customHeight="1" thickBot="1" x14ac:dyDescent="0.35">
      <c r="A757" s="30">
        <f t="array" ref="A757">IF(B757&lt;&gt;"",COUNTIF($B$19:B757,"&lt;&gt;"),"")</f>
        <v>663</v>
      </c>
      <c r="B757" s="41">
        <v>915</v>
      </c>
      <c r="C757" s="42" t="s">
        <v>45</v>
      </c>
      <c r="D757" s="43">
        <v>5889</v>
      </c>
      <c r="E757" s="42" t="s">
        <v>1628</v>
      </c>
      <c r="F757" s="49" t="s">
        <v>1602</v>
      </c>
      <c r="G757" s="36" t="s">
        <v>1629</v>
      </c>
      <c r="H757" s="44"/>
      <c r="I757" s="44"/>
      <c r="J757" s="44"/>
      <c r="K757" s="44"/>
      <c r="L757" s="44"/>
      <c r="M757" s="44"/>
      <c r="N757" s="36"/>
      <c r="O757" s="36"/>
      <c r="P757" s="45"/>
      <c r="Q757" s="45"/>
      <c r="R757" s="44"/>
      <c r="S757" s="46" t="s">
        <v>37</v>
      </c>
      <c r="T757" s="30" t="str">
        <f>IFERROR(VLOOKUP(O757, '[1]CURSOS 2025'!A:B, 2, FALSE), "")</f>
        <v/>
      </c>
      <c r="U757" s="39">
        <f>SUM(R757:R757)</f>
        <v>0</v>
      </c>
    </row>
    <row r="758" spans="1:21" s="40" customFormat="1" ht="39.950000000000003" customHeight="1" thickBot="1" x14ac:dyDescent="0.35">
      <c r="A758" s="30">
        <f t="array" ref="A758">IF(B758&lt;&gt;"",COUNTIF($B$19:B758,"&lt;&gt;"),"")</f>
        <v>664</v>
      </c>
      <c r="B758" s="41">
        <v>915</v>
      </c>
      <c r="C758" s="42" t="s">
        <v>45</v>
      </c>
      <c r="D758" s="43">
        <v>5138</v>
      </c>
      <c r="E758" s="42" t="s">
        <v>1630</v>
      </c>
      <c r="F758" s="49" t="s">
        <v>1602</v>
      </c>
      <c r="G758" s="36" t="s">
        <v>1631</v>
      </c>
      <c r="H758" s="44"/>
      <c r="I758" s="44"/>
      <c r="J758" s="44"/>
      <c r="K758" s="44" t="s">
        <v>231</v>
      </c>
      <c r="L758" s="44" t="s">
        <v>231</v>
      </c>
      <c r="M758" s="44" t="s">
        <v>231</v>
      </c>
      <c r="N758" s="36" t="s">
        <v>1537</v>
      </c>
      <c r="O758" s="36" t="s">
        <v>1715</v>
      </c>
      <c r="P758" s="45">
        <v>46071</v>
      </c>
      <c r="Q758" s="45">
        <v>46071</v>
      </c>
      <c r="R758" s="44">
        <v>2</v>
      </c>
      <c r="S758" s="46" t="s">
        <v>37</v>
      </c>
      <c r="T758" s="30" t="s">
        <v>234</v>
      </c>
      <c r="U758" s="39">
        <f>SUM(R758:R758)</f>
        <v>2</v>
      </c>
    </row>
    <row r="759" spans="1:21" s="40" customFormat="1" ht="39.950000000000003" customHeight="1" thickBot="1" x14ac:dyDescent="0.35">
      <c r="A759" s="30">
        <f t="array" ref="A759">IF(B759&lt;&gt;"",COUNTIF($B$19:B759,"&lt;&gt;"),"")</f>
        <v>665</v>
      </c>
      <c r="B759" s="41">
        <v>915</v>
      </c>
      <c r="C759" s="42" t="s">
        <v>38</v>
      </c>
      <c r="D759" s="43">
        <v>5055</v>
      </c>
      <c r="E759" s="42" t="s">
        <v>1632</v>
      </c>
      <c r="F759" s="49" t="s">
        <v>1602</v>
      </c>
      <c r="G759" s="36" t="s">
        <v>1633</v>
      </c>
      <c r="H759" s="44"/>
      <c r="I759" s="44"/>
      <c r="J759" s="44"/>
      <c r="K759" s="44"/>
      <c r="L759" s="44"/>
      <c r="M759" s="44"/>
      <c r="N759" s="36"/>
      <c r="O759" s="36"/>
      <c r="P759" s="45"/>
      <c r="Q759" s="45"/>
      <c r="R759" s="44"/>
      <c r="S759" s="44" t="s">
        <v>37</v>
      </c>
      <c r="T759" s="30" t="str">
        <f>IFERROR(VLOOKUP(O759, '[1]CURSOS 2025'!A:B, 2, FALSE), "")</f>
        <v/>
      </c>
      <c r="U759" s="48">
        <f>R759</f>
        <v>0</v>
      </c>
    </row>
    <row r="760" spans="1:21" s="40" customFormat="1" ht="39.950000000000003" customHeight="1" thickBot="1" x14ac:dyDescent="0.35">
      <c r="A760" s="30">
        <f t="array" ref="A760">IF(B760&lt;&gt;"",COUNTIF($B$19:B760,"&lt;&gt;"),"")</f>
        <v>666</v>
      </c>
      <c r="B760" s="41">
        <v>915</v>
      </c>
      <c r="C760" s="42" t="s">
        <v>45</v>
      </c>
      <c r="D760" s="43">
        <v>1915</v>
      </c>
      <c r="E760" s="42" t="s">
        <v>1634</v>
      </c>
      <c r="F760" s="49" t="s">
        <v>1602</v>
      </c>
      <c r="G760" s="36" t="s">
        <v>1635</v>
      </c>
      <c r="H760" s="44"/>
      <c r="I760" s="44"/>
      <c r="J760" s="44"/>
      <c r="K760" s="44"/>
      <c r="L760" s="44"/>
      <c r="M760" s="44"/>
      <c r="N760" s="36"/>
      <c r="O760" s="36"/>
      <c r="P760" s="45"/>
      <c r="Q760" s="45"/>
      <c r="R760" s="44"/>
      <c r="S760" s="46" t="s">
        <v>33</v>
      </c>
      <c r="T760" s="30" t="str">
        <f>IFERROR(VLOOKUP(O760, '[1]CURSOS 2025'!A:B, 2, FALSE), "")</f>
        <v/>
      </c>
      <c r="U760" s="39">
        <f t="shared" ref="U760:U773" si="115">SUM(R760:R760)</f>
        <v>0</v>
      </c>
    </row>
    <row r="761" spans="1:21" s="40" customFormat="1" ht="39.950000000000003" customHeight="1" thickBot="1" x14ac:dyDescent="0.35">
      <c r="A761" s="30">
        <f t="array" ref="A761">IF(B761&lt;&gt;"",COUNTIF($B$19:B761,"&lt;&gt;"),"")</f>
        <v>667</v>
      </c>
      <c r="B761" s="41">
        <v>915</v>
      </c>
      <c r="C761" s="42" t="s">
        <v>1636</v>
      </c>
      <c r="D761" s="43">
        <v>5751</v>
      </c>
      <c r="E761" s="42" t="s">
        <v>1637</v>
      </c>
      <c r="F761" s="49" t="s">
        <v>1602</v>
      </c>
      <c r="G761" s="36" t="s">
        <v>1638</v>
      </c>
      <c r="H761" s="44"/>
      <c r="I761" s="44"/>
      <c r="J761" s="44"/>
      <c r="K761" s="44"/>
      <c r="L761" s="44"/>
      <c r="M761" s="44"/>
      <c r="N761" s="36"/>
      <c r="O761" s="36"/>
      <c r="P761" s="45"/>
      <c r="Q761" s="45"/>
      <c r="R761" s="44"/>
      <c r="S761" s="46" t="s">
        <v>37</v>
      </c>
      <c r="T761" s="30" t="str">
        <f>IFERROR(VLOOKUP(O761, '[1]CURSOS 2025'!A:B, 2, FALSE), "")</f>
        <v/>
      </c>
      <c r="U761" s="39">
        <f t="shared" si="115"/>
        <v>0</v>
      </c>
    </row>
    <row r="762" spans="1:21" s="40" customFormat="1" ht="39.950000000000003" customHeight="1" thickBot="1" x14ac:dyDescent="0.35">
      <c r="A762" s="30">
        <f t="array" ref="A762">IF(B762&lt;&gt;"",COUNTIF($B$19:B762,"&lt;&gt;"),"")</f>
        <v>668</v>
      </c>
      <c r="B762" s="41">
        <v>915</v>
      </c>
      <c r="C762" s="42" t="s">
        <v>1639</v>
      </c>
      <c r="D762" s="43">
        <v>1443</v>
      </c>
      <c r="E762" s="42" t="s">
        <v>1640</v>
      </c>
      <c r="F762" s="49" t="s">
        <v>1602</v>
      </c>
      <c r="G762" s="36" t="s">
        <v>1641</v>
      </c>
      <c r="H762" s="44"/>
      <c r="I762" s="44"/>
      <c r="J762" s="44"/>
      <c r="K762" s="44"/>
      <c r="L762" s="44"/>
      <c r="M762" s="44"/>
      <c r="N762" s="36"/>
      <c r="O762" s="36"/>
      <c r="P762" s="45"/>
      <c r="Q762" s="45"/>
      <c r="R762" s="44"/>
      <c r="S762" s="46" t="s">
        <v>33</v>
      </c>
      <c r="T762" s="30" t="str">
        <f>IFERROR(VLOOKUP(O762, '[1]CURSOS 2025'!A:B, 2, FALSE), "")</f>
        <v/>
      </c>
      <c r="U762" s="39">
        <f t="shared" si="115"/>
        <v>0</v>
      </c>
    </row>
    <row r="763" spans="1:21" s="40" customFormat="1" ht="39.950000000000003" customHeight="1" thickBot="1" x14ac:dyDescent="0.35">
      <c r="A763" s="30">
        <f t="array" ref="A763">IF(B763&lt;&gt;"",COUNTIF($B$19:B763,"&lt;&gt;"),"")</f>
        <v>669</v>
      </c>
      <c r="B763" s="41">
        <v>915</v>
      </c>
      <c r="C763" s="42" t="s">
        <v>45</v>
      </c>
      <c r="D763" s="43">
        <v>5916</v>
      </c>
      <c r="E763" s="42" t="s">
        <v>1642</v>
      </c>
      <c r="F763" s="49" t="s">
        <v>1602</v>
      </c>
      <c r="G763" s="36" t="s">
        <v>1643</v>
      </c>
      <c r="H763" s="44"/>
      <c r="I763" s="44"/>
      <c r="J763" s="44"/>
      <c r="K763" s="44"/>
      <c r="L763" s="44"/>
      <c r="M763" s="44"/>
      <c r="N763" s="36"/>
      <c r="O763" s="36"/>
      <c r="P763" s="45"/>
      <c r="Q763" s="45"/>
      <c r="R763" s="44"/>
      <c r="S763" s="46" t="s">
        <v>37</v>
      </c>
      <c r="T763" s="30" t="str">
        <f>IFERROR(VLOOKUP(O763, '[1]CURSOS 2025'!A:B, 2, FALSE), "")</f>
        <v/>
      </c>
      <c r="U763" s="39">
        <f t="shared" si="115"/>
        <v>0</v>
      </c>
    </row>
    <row r="764" spans="1:21" s="40" customFormat="1" ht="39.950000000000003" customHeight="1" thickBot="1" x14ac:dyDescent="0.35">
      <c r="A764" s="30">
        <f t="array" ref="A764">IF(B764&lt;&gt;"",COUNTIF($B$19:B764,"&lt;&gt;"),"")</f>
        <v>670</v>
      </c>
      <c r="B764" s="41">
        <v>915</v>
      </c>
      <c r="C764" s="42" t="s">
        <v>45</v>
      </c>
      <c r="D764" s="43">
        <v>5163</v>
      </c>
      <c r="E764" s="42" t="s">
        <v>1644</v>
      </c>
      <c r="F764" s="49" t="s">
        <v>1602</v>
      </c>
      <c r="G764" s="36" t="s">
        <v>1645</v>
      </c>
      <c r="H764" s="44"/>
      <c r="I764" s="44"/>
      <c r="J764" s="44"/>
      <c r="K764" s="44"/>
      <c r="L764" s="44"/>
      <c r="M764" s="44"/>
      <c r="N764" s="36"/>
      <c r="O764" s="36"/>
      <c r="P764" s="45"/>
      <c r="Q764" s="45"/>
      <c r="R764" s="44"/>
      <c r="S764" s="46" t="s">
        <v>37</v>
      </c>
      <c r="T764" s="30" t="str">
        <f>IFERROR(VLOOKUP(O764, '[1]CURSOS 2025'!A:B, 2, FALSE), "")</f>
        <v/>
      </c>
      <c r="U764" s="39">
        <f t="shared" si="115"/>
        <v>0</v>
      </c>
    </row>
    <row r="765" spans="1:21" s="40" customFormat="1" ht="39.950000000000003" customHeight="1" thickBot="1" x14ac:dyDescent="0.35">
      <c r="A765" s="30">
        <f t="array" ref="A765">IF(B765&lt;&gt;"",COUNTIF($B$19:B765,"&lt;&gt;"),"")</f>
        <v>671</v>
      </c>
      <c r="B765" s="41">
        <v>915</v>
      </c>
      <c r="C765" s="42" t="s">
        <v>45</v>
      </c>
      <c r="D765" s="43">
        <v>867</v>
      </c>
      <c r="E765" s="42" t="s">
        <v>1646</v>
      </c>
      <c r="F765" s="49" t="s">
        <v>1602</v>
      </c>
      <c r="G765" s="36" t="s">
        <v>1647</v>
      </c>
      <c r="H765" s="44"/>
      <c r="I765" s="44"/>
      <c r="J765" s="44"/>
      <c r="K765" s="44"/>
      <c r="L765" s="44"/>
      <c r="M765" s="44"/>
      <c r="N765" s="36"/>
      <c r="O765" s="36"/>
      <c r="P765" s="45"/>
      <c r="Q765" s="45"/>
      <c r="R765" s="44"/>
      <c r="S765" s="46" t="s">
        <v>33</v>
      </c>
      <c r="T765" s="30" t="str">
        <f>IFERROR(VLOOKUP(O765, '[1]CURSOS 2025'!A:B, 2, FALSE), "")</f>
        <v/>
      </c>
      <c r="U765" s="39">
        <f t="shared" si="115"/>
        <v>0</v>
      </c>
    </row>
    <row r="766" spans="1:21" s="40" customFormat="1" ht="39.950000000000003" customHeight="1" thickBot="1" x14ac:dyDescent="0.35">
      <c r="A766" s="30">
        <f t="array" ref="A766">IF(B766&lt;&gt;"",COUNTIF($B$19:B766,"&lt;&gt;"),"")</f>
        <v>672</v>
      </c>
      <c r="B766" s="41">
        <v>915</v>
      </c>
      <c r="C766" s="42" t="s">
        <v>45</v>
      </c>
      <c r="D766" s="43">
        <v>5725</v>
      </c>
      <c r="E766" s="42" t="s">
        <v>1648</v>
      </c>
      <c r="F766" s="49" t="s">
        <v>1602</v>
      </c>
      <c r="G766" s="36" t="s">
        <v>1649</v>
      </c>
      <c r="H766" s="44"/>
      <c r="I766" s="44"/>
      <c r="J766" s="44"/>
      <c r="K766" s="44"/>
      <c r="L766" s="44"/>
      <c r="M766" s="44"/>
      <c r="N766" s="36"/>
      <c r="O766" s="36"/>
      <c r="P766" s="45"/>
      <c r="Q766" s="45"/>
      <c r="R766" s="44"/>
      <c r="S766" s="46" t="s">
        <v>37</v>
      </c>
      <c r="T766" s="30" t="str">
        <f>IFERROR(VLOOKUP(O766, '[1]CURSOS 2025'!A:B, 2, FALSE), "")</f>
        <v/>
      </c>
      <c r="U766" s="39">
        <f t="shared" si="115"/>
        <v>0</v>
      </c>
    </row>
    <row r="767" spans="1:21" s="40" customFormat="1" ht="39.950000000000003" customHeight="1" thickBot="1" x14ac:dyDescent="0.35">
      <c r="A767" s="30">
        <f t="array" ref="A767">IF(B767&lt;&gt;"",COUNTIF($B$19:B767,"&lt;&gt;"),"")</f>
        <v>673</v>
      </c>
      <c r="B767" s="41">
        <v>915</v>
      </c>
      <c r="C767" s="42" t="s">
        <v>1650</v>
      </c>
      <c r="D767" s="43">
        <v>472</v>
      </c>
      <c r="E767" s="42" t="s">
        <v>1651</v>
      </c>
      <c r="F767" s="49" t="s">
        <v>1602</v>
      </c>
      <c r="G767" s="36" t="s">
        <v>1652</v>
      </c>
      <c r="H767" s="44"/>
      <c r="I767" s="44"/>
      <c r="J767" s="44"/>
      <c r="K767" s="44"/>
      <c r="L767" s="44"/>
      <c r="M767" s="44"/>
      <c r="N767" s="36"/>
      <c r="O767" s="36"/>
      <c r="P767" s="45"/>
      <c r="Q767" s="45"/>
      <c r="R767" s="44"/>
      <c r="S767" s="46" t="s">
        <v>37</v>
      </c>
      <c r="T767" s="30" t="str">
        <f>IFERROR(VLOOKUP(O767, '[1]CURSOS 2025'!A:B, 2, FALSE), "")</f>
        <v/>
      </c>
      <c r="U767" s="39">
        <f t="shared" si="115"/>
        <v>0</v>
      </c>
    </row>
    <row r="768" spans="1:21" s="40" customFormat="1" ht="39.950000000000003" customHeight="1" thickBot="1" x14ac:dyDescent="0.35">
      <c r="A768" s="30">
        <f t="array" ref="A768">IF(B768&lt;&gt;"",COUNTIF($B$19:B768,"&lt;&gt;"),"")</f>
        <v>674</v>
      </c>
      <c r="B768" s="41">
        <v>915</v>
      </c>
      <c r="C768" s="42" t="s">
        <v>697</v>
      </c>
      <c r="D768" s="43" t="s">
        <v>1653</v>
      </c>
      <c r="E768" s="42" t="s">
        <v>1654</v>
      </c>
      <c r="F768" s="49" t="s">
        <v>1602</v>
      </c>
      <c r="G768" s="36" t="s">
        <v>1655</v>
      </c>
      <c r="H768" s="44"/>
      <c r="I768" s="44"/>
      <c r="J768" s="44"/>
      <c r="K768" s="44"/>
      <c r="L768" s="44"/>
      <c r="M768" s="44"/>
      <c r="N768" s="36"/>
      <c r="O768" s="36"/>
      <c r="P768" s="45"/>
      <c r="Q768" s="45"/>
      <c r="R768" s="44"/>
      <c r="S768" s="46" t="s">
        <v>33</v>
      </c>
      <c r="T768" s="30" t="str">
        <f>IFERROR(VLOOKUP(O768, '[1]CURSOS 2025'!A:B, 2, FALSE), "")</f>
        <v/>
      </c>
      <c r="U768" s="39">
        <f t="shared" si="115"/>
        <v>0</v>
      </c>
    </row>
    <row r="769" spans="1:21" s="40" customFormat="1" ht="39.950000000000003" customHeight="1" thickBot="1" x14ac:dyDescent="0.35">
      <c r="A769" s="30">
        <f t="array" ref="A769">IF(B769&lt;&gt;"",COUNTIF($B$19:B769,"&lt;&gt;"),"")</f>
        <v>675</v>
      </c>
      <c r="B769" s="41">
        <v>915</v>
      </c>
      <c r="C769" s="42" t="s">
        <v>697</v>
      </c>
      <c r="D769" s="43">
        <v>3855</v>
      </c>
      <c r="E769" s="42" t="s">
        <v>1656</v>
      </c>
      <c r="F769" s="49" t="s">
        <v>1602</v>
      </c>
      <c r="G769" s="36" t="s">
        <v>1657</v>
      </c>
      <c r="H769" s="44"/>
      <c r="I769" s="44"/>
      <c r="J769" s="44"/>
      <c r="K769" s="44"/>
      <c r="L769" s="44"/>
      <c r="M769" s="44"/>
      <c r="N769" s="36"/>
      <c r="O769" s="36"/>
      <c r="P769" s="45"/>
      <c r="Q769" s="45"/>
      <c r="R769" s="44"/>
      <c r="S769" s="46" t="s">
        <v>33</v>
      </c>
      <c r="T769" s="30" t="str">
        <f>IFERROR(VLOOKUP(O769, '[1]CURSOS 2025'!A:B, 2, FALSE), "")</f>
        <v/>
      </c>
      <c r="U769" s="39">
        <f t="shared" si="115"/>
        <v>0</v>
      </c>
    </row>
    <row r="770" spans="1:21" s="40" customFormat="1" ht="39.950000000000003" customHeight="1" thickBot="1" x14ac:dyDescent="0.35">
      <c r="A770" s="30">
        <f t="array" ref="A770">IF(B770&lt;&gt;"",COUNTIF($B$19:B770,"&lt;&gt;"),"")</f>
        <v>676</v>
      </c>
      <c r="B770" s="41">
        <v>915</v>
      </c>
      <c r="C770" s="42" t="s">
        <v>674</v>
      </c>
      <c r="D770" s="43" t="s">
        <v>1658</v>
      </c>
      <c r="E770" s="42" t="s">
        <v>1659</v>
      </c>
      <c r="F770" s="49" t="s">
        <v>1602</v>
      </c>
      <c r="G770" s="36" t="s">
        <v>1660</v>
      </c>
      <c r="H770" s="44"/>
      <c r="I770" s="44"/>
      <c r="J770" s="44"/>
      <c r="K770" s="44"/>
      <c r="L770" s="44"/>
      <c r="M770" s="44"/>
      <c r="N770" s="36"/>
      <c r="O770" s="36"/>
      <c r="P770" s="45"/>
      <c r="Q770" s="45"/>
      <c r="R770" s="44"/>
      <c r="S770" s="46" t="s">
        <v>33</v>
      </c>
      <c r="T770" s="30" t="str">
        <f>IFERROR(VLOOKUP(O770, '[1]CURSOS 2025'!A:B, 2, FALSE), "")</f>
        <v/>
      </c>
      <c r="U770" s="39">
        <f t="shared" si="115"/>
        <v>0</v>
      </c>
    </row>
    <row r="771" spans="1:21" s="40" customFormat="1" ht="39.75" customHeight="1" thickBot="1" x14ac:dyDescent="0.35">
      <c r="A771" s="30">
        <f t="array" ref="A771">IF(B771&lt;&gt;"",COUNTIF($B$19:B771,"&lt;&gt;"),"")</f>
        <v>677</v>
      </c>
      <c r="B771" s="41">
        <v>915</v>
      </c>
      <c r="C771" s="42" t="s">
        <v>1661</v>
      </c>
      <c r="D771" s="43">
        <v>3561</v>
      </c>
      <c r="E771" s="42" t="s">
        <v>1662</v>
      </c>
      <c r="F771" s="49" t="s">
        <v>1602</v>
      </c>
      <c r="G771" s="36" t="s">
        <v>1663</v>
      </c>
      <c r="H771" s="44"/>
      <c r="I771" s="44"/>
      <c r="J771" s="44"/>
      <c r="K771" s="44"/>
      <c r="L771" s="44"/>
      <c r="M771" s="44"/>
      <c r="N771" s="36"/>
      <c r="O771" s="36"/>
      <c r="P771" s="45"/>
      <c r="Q771" s="45"/>
      <c r="R771" s="44"/>
      <c r="S771" s="46" t="s">
        <v>33</v>
      </c>
      <c r="T771" s="30" t="str">
        <f>IFERROR(VLOOKUP(O771, '[1]CURSOS 2025'!A:B, 2, FALSE), "")</f>
        <v/>
      </c>
      <c r="U771" s="39">
        <f t="shared" si="115"/>
        <v>0</v>
      </c>
    </row>
    <row r="772" spans="1:21" s="40" customFormat="1" ht="39.950000000000003" customHeight="1" thickBot="1" x14ac:dyDescent="0.35">
      <c r="A772" s="30">
        <f t="array" ref="A772">IF(B772&lt;&gt;"",COUNTIF($B$19:B772,"&lt;&gt;"),"")</f>
        <v>678</v>
      </c>
      <c r="B772" s="41">
        <v>915</v>
      </c>
      <c r="C772" s="42" t="s">
        <v>674</v>
      </c>
      <c r="D772" s="43">
        <v>3300</v>
      </c>
      <c r="E772" s="42" t="s">
        <v>1664</v>
      </c>
      <c r="F772" s="49" t="s">
        <v>1602</v>
      </c>
      <c r="G772" s="36" t="s">
        <v>1665</v>
      </c>
      <c r="H772" s="44"/>
      <c r="I772" s="44"/>
      <c r="J772" s="44"/>
      <c r="K772" s="44"/>
      <c r="L772" s="44"/>
      <c r="M772" s="44"/>
      <c r="N772" s="36"/>
      <c r="O772" s="36"/>
      <c r="P772" s="45"/>
      <c r="Q772" s="45"/>
      <c r="R772" s="44"/>
      <c r="S772" s="46" t="s">
        <v>33</v>
      </c>
      <c r="T772" s="30" t="str">
        <f>IFERROR(VLOOKUP(O772, '[1]CURSOS 2025'!A:B, 2, FALSE), "")</f>
        <v/>
      </c>
      <c r="U772" s="39">
        <f t="shared" si="115"/>
        <v>0</v>
      </c>
    </row>
    <row r="773" spans="1:21" s="40" customFormat="1" ht="39.950000000000003" customHeight="1" thickBot="1" x14ac:dyDescent="0.35">
      <c r="A773" s="30">
        <f t="array" ref="A773">IF(B773&lt;&gt;"",COUNTIF($B$19:B773,"&lt;&gt;"),"")</f>
        <v>679</v>
      </c>
      <c r="B773" s="41">
        <v>915</v>
      </c>
      <c r="C773" s="42" t="s">
        <v>1666</v>
      </c>
      <c r="D773" s="43">
        <v>1923</v>
      </c>
      <c r="E773" s="42" t="s">
        <v>1667</v>
      </c>
      <c r="F773" s="49" t="s">
        <v>1602</v>
      </c>
      <c r="G773" s="36" t="s">
        <v>1668</v>
      </c>
      <c r="H773" s="44"/>
      <c r="I773" s="44"/>
      <c r="J773" s="44"/>
      <c r="K773" s="44"/>
      <c r="L773" s="44"/>
      <c r="M773" s="44"/>
      <c r="N773" s="36"/>
      <c r="O773" s="36"/>
      <c r="P773" s="45"/>
      <c r="Q773" s="45"/>
      <c r="R773" s="44"/>
      <c r="S773" s="46" t="s">
        <v>37</v>
      </c>
      <c r="T773" s="30" t="str">
        <f>IFERROR(VLOOKUP(O773, '[1]CURSOS 2025'!A:B, 2, FALSE), "")</f>
        <v/>
      </c>
      <c r="U773" s="39">
        <f t="shared" si="115"/>
        <v>0</v>
      </c>
    </row>
    <row r="774" spans="1:21" s="40" customFormat="1" ht="39.950000000000003" customHeight="1" thickBot="1" x14ac:dyDescent="0.45">
      <c r="A774" s="30">
        <f t="array" ref="A774">IF(B774&lt;&gt;"",COUNTIF($B$19:B774,"&lt;&gt;"),"")</f>
        <v>680</v>
      </c>
      <c r="B774" s="41">
        <v>915</v>
      </c>
      <c r="C774" s="42" t="s">
        <v>38</v>
      </c>
      <c r="D774" s="43" t="s">
        <v>1669</v>
      </c>
      <c r="E774" s="42" t="s">
        <v>1670</v>
      </c>
      <c r="F774" s="49" t="s">
        <v>1602</v>
      </c>
      <c r="G774" s="67" t="s">
        <v>1671</v>
      </c>
      <c r="H774" s="44"/>
      <c r="I774" s="44"/>
      <c r="J774" s="44"/>
      <c r="K774" s="44"/>
      <c r="L774" s="44"/>
      <c r="M774" s="44"/>
      <c r="N774" s="36"/>
      <c r="O774" s="36"/>
      <c r="P774" s="45"/>
      <c r="Q774" s="45"/>
      <c r="R774" s="44"/>
      <c r="S774" s="44" t="s">
        <v>33</v>
      </c>
      <c r="T774" s="30" t="str">
        <f>IFERROR(VLOOKUP(O774, '[1]CURSOS 2025'!A:B, 2, FALSE), "")</f>
        <v/>
      </c>
      <c r="U774" s="48">
        <f t="shared" ref="U774" si="116">SUM(R774)</f>
        <v>0</v>
      </c>
    </row>
    <row r="775" spans="1:21" s="40" customFormat="1" ht="39.950000000000003" customHeight="1" thickBot="1" x14ac:dyDescent="0.35">
      <c r="A775" s="30">
        <f t="array" ref="A775">IF(B775&lt;&gt;"",COUNTIF($B$19:B775,"&lt;&gt;"),"")</f>
        <v>681</v>
      </c>
      <c r="B775" s="41">
        <v>915</v>
      </c>
      <c r="C775" s="42" t="s">
        <v>697</v>
      </c>
      <c r="D775" s="43" t="s">
        <v>1672</v>
      </c>
      <c r="E775" s="42" t="s">
        <v>1673</v>
      </c>
      <c r="F775" s="49" t="s">
        <v>1602</v>
      </c>
      <c r="G775" s="36" t="s">
        <v>1674</v>
      </c>
      <c r="H775" s="44"/>
      <c r="I775" s="44"/>
      <c r="J775" s="44"/>
      <c r="K775" s="44"/>
      <c r="L775" s="44"/>
      <c r="M775" s="44"/>
      <c r="N775" s="36"/>
      <c r="O775" s="36"/>
      <c r="P775" s="45"/>
      <c r="Q775" s="45"/>
      <c r="R775" s="44"/>
      <c r="S775" s="46" t="s">
        <v>33</v>
      </c>
      <c r="T775" s="30" t="str">
        <f>IFERROR(VLOOKUP(O775, '[1]CURSOS 2025'!A:B, 2, FALSE), "")</f>
        <v/>
      </c>
      <c r="U775" s="68">
        <f>SUM(R775:R775)</f>
        <v>0</v>
      </c>
    </row>
    <row r="776" spans="1:21" s="59" customFormat="1" ht="39.75" customHeight="1" thickBot="1" x14ac:dyDescent="0.35">
      <c r="A776" s="30" t="str">
        <f t="array" ref="A776">IF(B776&lt;&gt;"",COUNTIF($B$19:B776,"&lt;&gt;"),"")</f>
        <v/>
      </c>
      <c r="B776" s="50"/>
      <c r="C776" s="51"/>
      <c r="D776" s="52"/>
      <c r="E776" s="51"/>
      <c r="F776" s="53"/>
      <c r="G776" s="53"/>
      <c r="H776" s="54"/>
      <c r="I776" s="54"/>
      <c r="J776" s="54"/>
      <c r="K776" s="54"/>
      <c r="L776" s="54"/>
      <c r="M776" s="54"/>
      <c r="N776" s="55"/>
      <c r="O776" s="55"/>
      <c r="P776" s="56"/>
      <c r="Q776" s="56"/>
      <c r="R776" s="54"/>
      <c r="S776" s="54"/>
      <c r="T776" s="57" t="str">
        <f>IFERROR(VLOOKUP(O776, '[1]CURSOS 2025'!A:B, 2, FALSE), "")</f>
        <v/>
      </c>
      <c r="U776" s="80"/>
    </row>
    <row r="777" spans="1:21" s="40" customFormat="1" ht="39.75" customHeight="1" thickBot="1" x14ac:dyDescent="0.35">
      <c r="A777" s="30">
        <f t="array" ref="A777">IF(B777&lt;&gt;"",COUNTIF($B$19:B777,"&lt;&gt;"),"")</f>
        <v>682</v>
      </c>
      <c r="B777" s="41">
        <v>615</v>
      </c>
      <c r="C777" s="42" t="s">
        <v>34</v>
      </c>
      <c r="D777" s="43">
        <v>5534</v>
      </c>
      <c r="E777" s="42" t="s">
        <v>1675</v>
      </c>
      <c r="F777" s="49" t="s">
        <v>1676</v>
      </c>
      <c r="G777" s="36" t="s">
        <v>1677</v>
      </c>
      <c r="H777" s="44"/>
      <c r="I777" s="44"/>
      <c r="J777" s="44"/>
      <c r="K777" s="44"/>
      <c r="L777" s="44"/>
      <c r="M777" s="44"/>
      <c r="N777" s="36"/>
      <c r="O777" s="36"/>
      <c r="P777" s="45"/>
      <c r="Q777" s="45"/>
      <c r="R777" s="44"/>
      <c r="S777" s="46" t="s">
        <v>37</v>
      </c>
      <c r="T777" s="30" t="str">
        <f>IFERROR(VLOOKUP(O777, '[1]CURSOS 2025'!A:B, 2, FALSE), "")</f>
        <v/>
      </c>
      <c r="U777" s="68">
        <f>SUM(R777:R777)</f>
        <v>0</v>
      </c>
    </row>
    <row r="778" spans="1:21" s="40" customFormat="1" ht="39.950000000000003" customHeight="1" thickBot="1" x14ac:dyDescent="0.35">
      <c r="A778" s="30">
        <f t="array" ref="A778">IF(B778&lt;&gt;"",COUNTIF($B$19:B778,"&lt;&gt;"),"")</f>
        <v>683</v>
      </c>
      <c r="B778" s="41">
        <v>615</v>
      </c>
      <c r="C778" s="42" t="s">
        <v>45</v>
      </c>
      <c r="D778" s="43" t="s">
        <v>1678</v>
      </c>
      <c r="E778" s="42" t="s">
        <v>1679</v>
      </c>
      <c r="F778" s="49" t="s">
        <v>1676</v>
      </c>
      <c r="G778" s="36" t="s">
        <v>1680</v>
      </c>
      <c r="H778" s="44"/>
      <c r="I778" s="44"/>
      <c r="J778" s="44"/>
      <c r="K778" s="44"/>
      <c r="L778" s="44"/>
      <c r="M778" s="44"/>
      <c r="N778" s="36"/>
      <c r="O778" s="36"/>
      <c r="P778" s="45"/>
      <c r="Q778" s="45"/>
      <c r="R778" s="44"/>
      <c r="S778" s="44" t="s">
        <v>37</v>
      </c>
      <c r="T778" s="30" t="str">
        <f>IFERROR(VLOOKUP(O778, '[1]CURSOS 2025'!A:B, 2, FALSE), "")</f>
        <v/>
      </c>
      <c r="U778" s="81"/>
    </row>
    <row r="779" spans="1:21" s="40" customFormat="1" ht="30.75" customHeight="1" thickBot="1" x14ac:dyDescent="0.35">
      <c r="A779" s="30">
        <f t="array" ref="A779">IF(B779&lt;&gt;"",COUNTIF($B$19:B779,"&lt;&gt;"),"")</f>
        <v>684</v>
      </c>
      <c r="B779" s="41">
        <v>615</v>
      </c>
      <c r="C779" s="42" t="s">
        <v>38</v>
      </c>
      <c r="D779" s="43">
        <v>206231</v>
      </c>
      <c r="E779" s="42" t="s">
        <v>1681</v>
      </c>
      <c r="F779" s="49" t="s">
        <v>1676</v>
      </c>
      <c r="G779" s="36" t="s">
        <v>1682</v>
      </c>
      <c r="H779" s="44"/>
      <c r="I779" s="44"/>
      <c r="J779" s="44"/>
      <c r="K779" s="44" t="s">
        <v>231</v>
      </c>
      <c r="L779" s="44" t="s">
        <v>231</v>
      </c>
      <c r="M779" s="44" t="s">
        <v>231</v>
      </c>
      <c r="N779" s="36" t="s">
        <v>1537</v>
      </c>
      <c r="O779" s="36" t="s">
        <v>1713</v>
      </c>
      <c r="P779" s="45">
        <v>46069</v>
      </c>
      <c r="Q779" s="45">
        <v>46069</v>
      </c>
      <c r="R779" s="44">
        <v>2</v>
      </c>
      <c r="S779" s="46" t="s">
        <v>37</v>
      </c>
      <c r="T779" s="30" t="s">
        <v>234</v>
      </c>
      <c r="U779" s="221">
        <f>SUM(R779:R781)</f>
        <v>6</v>
      </c>
    </row>
    <row r="780" spans="1:21" s="40" customFormat="1" ht="30.75" customHeight="1" thickBot="1" x14ac:dyDescent="0.35">
      <c r="A780" s="30" t="str">
        <f t="array" ref="A780">IF(B780&lt;&gt;"",COUNTIF($B$19:B780,"&lt;&gt;"),"")</f>
        <v/>
      </c>
      <c r="B780" s="41"/>
      <c r="C780" s="42"/>
      <c r="D780" s="43"/>
      <c r="E780" s="42"/>
      <c r="F780" s="49"/>
      <c r="G780" s="36"/>
      <c r="H780" s="44"/>
      <c r="I780" s="44"/>
      <c r="J780" s="44"/>
      <c r="K780" s="44" t="s">
        <v>231</v>
      </c>
      <c r="L780" s="44" t="s">
        <v>231</v>
      </c>
      <c r="M780" s="44" t="s">
        <v>231</v>
      </c>
      <c r="N780" s="36" t="s">
        <v>1537</v>
      </c>
      <c r="O780" s="36" t="s">
        <v>1716</v>
      </c>
      <c r="P780" s="45">
        <v>46071</v>
      </c>
      <c r="Q780" s="45">
        <v>46071</v>
      </c>
      <c r="R780" s="44">
        <v>2</v>
      </c>
      <c r="S780" s="46" t="s">
        <v>37</v>
      </c>
      <c r="T780" s="30" t="s">
        <v>234</v>
      </c>
      <c r="U780" s="222"/>
    </row>
    <row r="781" spans="1:21" s="40" customFormat="1" ht="30.75" customHeight="1" thickBot="1" x14ac:dyDescent="0.35">
      <c r="A781" s="30"/>
      <c r="B781" s="41"/>
      <c r="C781" s="42"/>
      <c r="D781" s="43"/>
      <c r="E781" s="42"/>
      <c r="F781" s="49"/>
      <c r="G781" s="36"/>
      <c r="H781" s="44"/>
      <c r="I781" s="44"/>
      <c r="J781" s="44"/>
      <c r="K781" s="44" t="s">
        <v>231</v>
      </c>
      <c r="L781" s="44" t="s">
        <v>231</v>
      </c>
      <c r="M781" s="44" t="s">
        <v>231</v>
      </c>
      <c r="N781" s="36" t="s">
        <v>1537</v>
      </c>
      <c r="O781" s="36" t="s">
        <v>1715</v>
      </c>
      <c r="P781" s="45">
        <v>46071</v>
      </c>
      <c r="Q781" s="45">
        <v>46071</v>
      </c>
      <c r="R781" s="44">
        <v>2</v>
      </c>
      <c r="S781" s="46" t="s">
        <v>37</v>
      </c>
      <c r="T781" s="30" t="s">
        <v>234</v>
      </c>
      <c r="U781" s="223"/>
    </row>
    <row r="782" spans="1:21" s="40" customFormat="1" ht="39.950000000000003" customHeight="1" thickBot="1" x14ac:dyDescent="0.35">
      <c r="A782" s="30">
        <f t="array" ref="A782">IF(B782&lt;&gt;"",COUNTIF($B$19:B782,"&lt;&gt;"),"")</f>
        <v>685</v>
      </c>
      <c r="B782" s="41">
        <v>615</v>
      </c>
      <c r="C782" s="42" t="s">
        <v>38</v>
      </c>
      <c r="D782" s="43">
        <v>206207</v>
      </c>
      <c r="E782" s="42" t="s">
        <v>1683</v>
      </c>
      <c r="F782" s="49" t="s">
        <v>1676</v>
      </c>
      <c r="G782" s="36" t="s">
        <v>1684</v>
      </c>
      <c r="H782" s="44"/>
      <c r="I782" s="44"/>
      <c r="J782" s="44"/>
      <c r="K782" s="44" t="s">
        <v>231</v>
      </c>
      <c r="L782" s="44" t="s">
        <v>231</v>
      </c>
      <c r="M782" s="44" t="s">
        <v>231</v>
      </c>
      <c r="N782" s="36" t="s">
        <v>1537</v>
      </c>
      <c r="O782" s="36" t="s">
        <v>1713</v>
      </c>
      <c r="P782" s="45">
        <v>46069</v>
      </c>
      <c r="Q782" s="45">
        <v>46069</v>
      </c>
      <c r="R782" s="44">
        <v>2</v>
      </c>
      <c r="S782" s="46" t="s">
        <v>33</v>
      </c>
      <c r="T782" s="30" t="s">
        <v>234</v>
      </c>
      <c r="U782" s="39">
        <f t="shared" ref="U782:U787" si="117">SUM(R782:R782)</f>
        <v>2</v>
      </c>
    </row>
    <row r="783" spans="1:21" s="40" customFormat="1" ht="39.950000000000003" customHeight="1" thickBot="1" x14ac:dyDescent="0.35">
      <c r="A783" s="30">
        <f t="array" ref="A783">IF(B783&lt;&gt;"",COUNTIF($B$19:B783,"&lt;&gt;"),"")</f>
        <v>686</v>
      </c>
      <c r="B783" s="41">
        <v>615</v>
      </c>
      <c r="C783" s="42" t="s">
        <v>1685</v>
      </c>
      <c r="D783" s="43">
        <v>205885</v>
      </c>
      <c r="E783" s="42" t="s">
        <v>1686</v>
      </c>
      <c r="F783" s="49" t="s">
        <v>1676</v>
      </c>
      <c r="G783" s="36" t="s">
        <v>1687</v>
      </c>
      <c r="H783" s="44"/>
      <c r="I783" s="44"/>
      <c r="J783" s="44"/>
      <c r="K783" s="44" t="s">
        <v>231</v>
      </c>
      <c r="L783" s="44" t="s">
        <v>231</v>
      </c>
      <c r="M783" s="44" t="s">
        <v>231</v>
      </c>
      <c r="N783" s="36" t="s">
        <v>232</v>
      </c>
      <c r="O783" s="36" t="s">
        <v>233</v>
      </c>
      <c r="P783" s="45">
        <v>46043</v>
      </c>
      <c r="Q783" s="45">
        <v>46043</v>
      </c>
      <c r="R783" s="44">
        <v>40</v>
      </c>
      <c r="S783" s="46" t="s">
        <v>33</v>
      </c>
      <c r="T783" s="30" t="s">
        <v>234</v>
      </c>
      <c r="U783" s="39">
        <f t="shared" si="117"/>
        <v>40</v>
      </c>
    </row>
    <row r="784" spans="1:21" s="40" customFormat="1" ht="39.950000000000003" customHeight="1" thickBot="1" x14ac:dyDescent="0.35">
      <c r="A784" s="30">
        <f t="array" ref="A784">IF(B784&lt;&gt;"",COUNTIF($B$19:B784,"&lt;&gt;"),"")</f>
        <v>687</v>
      </c>
      <c r="B784" s="41">
        <v>615</v>
      </c>
      <c r="C784" s="42" t="s">
        <v>45</v>
      </c>
      <c r="D784" s="43">
        <v>3632</v>
      </c>
      <c r="E784" s="42" t="s">
        <v>1688</v>
      </c>
      <c r="F784" s="49" t="s">
        <v>1676</v>
      </c>
      <c r="G784" s="36" t="s">
        <v>1689</v>
      </c>
      <c r="H784" s="44"/>
      <c r="I784" s="44"/>
      <c r="J784" s="44"/>
      <c r="K784" s="44"/>
      <c r="L784" s="44"/>
      <c r="M784" s="44"/>
      <c r="N784" s="36"/>
      <c r="O784" s="36"/>
      <c r="P784" s="45"/>
      <c r="Q784" s="45"/>
      <c r="R784" s="44"/>
      <c r="S784" s="46" t="s">
        <v>33</v>
      </c>
      <c r="T784" s="30" t="str">
        <f>IFERROR(VLOOKUP(O784, '[1]CURSOS 2025'!A:B, 2, FALSE), "")</f>
        <v/>
      </c>
      <c r="U784" s="82">
        <f t="shared" si="117"/>
        <v>0</v>
      </c>
    </row>
    <row r="785" spans="1:21" s="40" customFormat="1" ht="39.950000000000003" customHeight="1" thickBot="1" x14ac:dyDescent="0.35">
      <c r="A785" s="30">
        <f t="array" ref="A785">IF(B785&lt;&gt;"",COUNTIF($B$19:B785,"&lt;&gt;"),"")</f>
        <v>688</v>
      </c>
      <c r="B785" s="41">
        <v>615</v>
      </c>
      <c r="C785" s="42" t="s">
        <v>81</v>
      </c>
      <c r="D785" s="43" t="s">
        <v>1690</v>
      </c>
      <c r="E785" s="42" t="s">
        <v>1691</v>
      </c>
      <c r="F785" s="49" t="s">
        <v>1676</v>
      </c>
      <c r="G785" s="36" t="s">
        <v>1692</v>
      </c>
      <c r="H785" s="44"/>
      <c r="I785" s="44"/>
      <c r="J785" s="44"/>
      <c r="K785" s="44"/>
      <c r="L785" s="44"/>
      <c r="M785" s="44"/>
      <c r="N785" s="36"/>
      <c r="O785" s="36"/>
      <c r="P785" s="45"/>
      <c r="Q785" s="45"/>
      <c r="R785" s="44"/>
      <c r="S785" s="46" t="s">
        <v>37</v>
      </c>
      <c r="T785" s="30" t="str">
        <f>IFERROR(VLOOKUP(O785, '[1]CURSOS 2025'!A:B, 2, FALSE), "")</f>
        <v/>
      </c>
      <c r="U785" s="39">
        <f t="shared" si="117"/>
        <v>0</v>
      </c>
    </row>
    <row r="786" spans="1:21" s="40" customFormat="1" ht="39.950000000000003" customHeight="1" thickBot="1" x14ac:dyDescent="0.35">
      <c r="A786" s="30">
        <f t="array" ref="A786">IF(B786&lt;&gt;"",COUNTIF($B$19:B786,"&lt;&gt;"),"")</f>
        <v>689</v>
      </c>
      <c r="B786" s="41">
        <v>615</v>
      </c>
      <c r="C786" s="42" t="s">
        <v>81</v>
      </c>
      <c r="D786" s="43" t="s">
        <v>1693</v>
      </c>
      <c r="E786" s="42" t="s">
        <v>1694</v>
      </c>
      <c r="F786" s="49" t="s">
        <v>1676</v>
      </c>
      <c r="G786" s="36" t="s">
        <v>1695</v>
      </c>
      <c r="H786" s="44" t="s">
        <v>231</v>
      </c>
      <c r="I786" s="44" t="s">
        <v>231</v>
      </c>
      <c r="J786" s="44" t="s">
        <v>231</v>
      </c>
      <c r="K786" s="44"/>
      <c r="L786" s="44"/>
      <c r="M786" s="44"/>
      <c r="N786" s="36" t="s">
        <v>2316</v>
      </c>
      <c r="O786" s="36" t="s">
        <v>2315</v>
      </c>
      <c r="P786" s="45">
        <v>46125</v>
      </c>
      <c r="Q786" s="45">
        <v>46125</v>
      </c>
      <c r="R786" s="44">
        <v>1</v>
      </c>
      <c r="S786" s="46" t="s">
        <v>37</v>
      </c>
      <c r="T786" s="30" t="s">
        <v>234</v>
      </c>
      <c r="U786" s="39">
        <f t="shared" si="117"/>
        <v>1</v>
      </c>
    </row>
    <row r="787" spans="1:21" s="40" customFormat="1" ht="39.950000000000003" customHeight="1" x14ac:dyDescent="0.3">
      <c r="A787" s="30">
        <f t="array" ref="A787">IF(B787&lt;&gt;"",COUNTIF($B$19:B787,"&lt;&gt;"),"")</f>
        <v>690</v>
      </c>
      <c r="B787" s="41">
        <v>347</v>
      </c>
      <c r="C787" s="42" t="s">
        <v>45</v>
      </c>
      <c r="D787" s="43" t="s">
        <v>1696</v>
      </c>
      <c r="E787" s="42" t="s">
        <v>1697</v>
      </c>
      <c r="F787" s="49" t="s">
        <v>1676</v>
      </c>
      <c r="G787" s="36" t="s">
        <v>1698</v>
      </c>
      <c r="H787" s="44"/>
      <c r="I787" s="44"/>
      <c r="J787" s="44"/>
      <c r="K787" s="44"/>
      <c r="L787" s="44"/>
      <c r="M787" s="44"/>
      <c r="N787" s="36"/>
      <c r="O787" s="36"/>
      <c r="P787" s="45"/>
      <c r="Q787" s="45"/>
      <c r="R787" s="44"/>
      <c r="S787" s="46" t="s">
        <v>33</v>
      </c>
      <c r="T787" s="30" t="str">
        <f>IFERROR(VLOOKUP(O787, '[1]CURSOS 2025'!A:B, 2, FALSE), "")</f>
        <v/>
      </c>
      <c r="U787" s="39">
        <f t="shared" si="117"/>
        <v>0</v>
      </c>
    </row>
    <row r="788" spans="1:21" ht="39.950000000000003" customHeight="1" x14ac:dyDescent="0.2">
      <c r="A788" s="83"/>
      <c r="B788" s="84"/>
      <c r="C788" s="85"/>
      <c r="D788" s="86"/>
      <c r="E788" s="87"/>
      <c r="F788" s="88"/>
      <c r="G788" s="88"/>
      <c r="H788" s="89"/>
      <c r="I788" s="89"/>
      <c r="J788" s="89"/>
      <c r="K788" s="89"/>
      <c r="L788" s="89"/>
      <c r="M788" s="89"/>
      <c r="N788" s="90"/>
      <c r="O788" s="90"/>
      <c r="P788" s="91"/>
      <c r="Q788" s="91"/>
      <c r="R788" s="89"/>
      <c r="S788" s="83"/>
      <c r="T788" s="70"/>
      <c r="U788" s="92"/>
    </row>
    <row r="789" spans="1:21" ht="30" customHeight="1" x14ac:dyDescent="0.2">
      <c r="A789" s="93"/>
      <c r="B789" s="94"/>
      <c r="C789" s="19"/>
      <c r="D789" s="19"/>
      <c r="E789" s="19"/>
      <c r="F789" s="95" t="s">
        <v>1699</v>
      </c>
      <c r="G789" s="96"/>
      <c r="H789" s="19"/>
      <c r="I789" s="19"/>
      <c r="J789" s="19"/>
      <c r="K789" s="19"/>
      <c r="L789" s="19"/>
      <c r="M789" s="19"/>
      <c r="N789" s="95"/>
      <c r="O789" s="95"/>
      <c r="P789" s="95"/>
      <c r="Q789" s="97" t="s">
        <v>1700</v>
      </c>
      <c r="R789" s="94"/>
      <c r="S789" s="93">
        <f>COUNTIF(S19:S787, "M")</f>
        <v>229</v>
      </c>
      <c r="T789" s="19"/>
      <c r="U789" s="94"/>
    </row>
    <row r="790" spans="1:21" ht="30" customHeight="1" x14ac:dyDescent="0.2">
      <c r="A790" s="19"/>
      <c r="B790" s="94"/>
      <c r="C790" s="19"/>
      <c r="D790" s="19"/>
      <c r="E790" s="19"/>
      <c r="F790" s="95" t="s">
        <v>1699</v>
      </c>
      <c r="G790" s="96"/>
      <c r="H790" s="19"/>
      <c r="I790" s="19"/>
      <c r="J790" s="19"/>
      <c r="K790" s="19"/>
      <c r="L790" s="19"/>
      <c r="M790" s="19"/>
      <c r="N790" s="95"/>
      <c r="O790" s="95"/>
      <c r="P790" s="95"/>
      <c r="Q790" s="97" t="s">
        <v>1701</v>
      </c>
      <c r="R790" s="94"/>
      <c r="S790" s="93">
        <f>COUNTIF(S20:S788, "H")</f>
        <v>519</v>
      </c>
      <c r="T790" s="19"/>
      <c r="U790" s="94"/>
    </row>
    <row r="791" spans="1:21" ht="30" customHeight="1" x14ac:dyDescent="0.2">
      <c r="A791" s="19"/>
      <c r="B791" s="94"/>
      <c r="C791" s="19"/>
      <c r="D791" s="19"/>
      <c r="E791" s="19"/>
      <c r="F791" s="95"/>
      <c r="G791" s="96"/>
      <c r="H791" s="19"/>
      <c r="I791" s="19"/>
      <c r="J791" s="19"/>
      <c r="K791" s="19"/>
      <c r="L791" s="19"/>
      <c r="M791" s="19"/>
      <c r="N791" s="95"/>
      <c r="O791" s="95"/>
      <c r="P791" s="95"/>
      <c r="Q791" s="95"/>
      <c r="R791" s="93"/>
      <c r="S791" s="98">
        <f>SUM(S789:S790)</f>
        <v>748</v>
      </c>
      <c r="T791" s="19"/>
      <c r="U791" s="94"/>
    </row>
    <row r="793" spans="1:21" ht="61.5" customHeight="1" x14ac:dyDescent="0.8">
      <c r="B793" s="1"/>
      <c r="E793" s="99" t="s">
        <v>1702</v>
      </c>
      <c r="O793" s="227" t="s">
        <v>1703</v>
      </c>
      <c r="P793" s="227"/>
      <c r="Q793" s="93"/>
      <c r="R793" s="2"/>
      <c r="S793" s="100"/>
    </row>
    <row r="794" spans="1:21" ht="15" customHeight="1" x14ac:dyDescent="0.8">
      <c r="B794" s="1"/>
      <c r="O794" s="101"/>
      <c r="P794" s="99"/>
      <c r="Q794" s="1"/>
      <c r="R794" s="2"/>
    </row>
    <row r="795" spans="1:21" ht="20.25" customHeight="1" x14ac:dyDescent="0.8">
      <c r="B795" s="1"/>
      <c r="O795" s="101"/>
      <c r="P795" s="99"/>
      <c r="Q795" s="1"/>
      <c r="R795" s="2"/>
      <c r="S795" s="102"/>
      <c r="T795" s="102"/>
    </row>
    <row r="796" spans="1:21" ht="20.25" customHeight="1" x14ac:dyDescent="0.8">
      <c r="B796" s="1"/>
      <c r="E796" s="103"/>
      <c r="O796" s="101"/>
      <c r="P796" s="101"/>
      <c r="Q796" s="1"/>
      <c r="R796" s="2"/>
      <c r="S796" s="102"/>
      <c r="T796" s="102"/>
    </row>
    <row r="797" spans="1:21" ht="15" customHeight="1" x14ac:dyDescent="0.8">
      <c r="B797" s="1"/>
      <c r="E797" s="103"/>
      <c r="O797" s="101"/>
      <c r="P797" s="101"/>
      <c r="Q797" s="1"/>
      <c r="R797" s="2"/>
    </row>
    <row r="798" spans="1:21" ht="15" customHeight="1" x14ac:dyDescent="0.8">
      <c r="B798" s="1"/>
      <c r="O798" s="101"/>
      <c r="P798" s="101"/>
      <c r="Q798" s="1"/>
      <c r="R798" s="2"/>
    </row>
    <row r="799" spans="1:21" ht="15" customHeight="1" x14ac:dyDescent="0.8">
      <c r="B799" s="1"/>
      <c r="O799" s="101"/>
      <c r="P799" s="101"/>
      <c r="Q799" s="1"/>
      <c r="R799" s="2"/>
    </row>
    <row r="800" spans="1:21" ht="15" customHeight="1" x14ac:dyDescent="0.8">
      <c r="B800" s="1"/>
      <c r="O800" s="101"/>
      <c r="P800" s="101"/>
      <c r="Q800" s="1"/>
      <c r="R800" s="2"/>
    </row>
    <row r="801" spans="2:21" ht="15" customHeight="1" x14ac:dyDescent="0.8">
      <c r="B801" s="1"/>
      <c r="O801" s="101"/>
      <c r="P801" s="101"/>
      <c r="Q801" s="1"/>
      <c r="R801" s="2"/>
    </row>
    <row r="802" spans="2:21" ht="15" customHeight="1" x14ac:dyDescent="0.8">
      <c r="B802" s="1"/>
      <c r="O802" s="101"/>
      <c r="P802" s="101"/>
      <c r="Q802" s="1"/>
      <c r="R802" s="2"/>
    </row>
    <row r="803" spans="2:21" ht="15" customHeight="1" x14ac:dyDescent="0.8">
      <c r="B803" s="1"/>
      <c r="O803" s="101"/>
      <c r="P803" s="101"/>
      <c r="Q803" s="1"/>
      <c r="R803" s="2"/>
    </row>
    <row r="804" spans="2:21" ht="15" customHeight="1" x14ac:dyDescent="0.8">
      <c r="B804" s="1"/>
      <c r="O804" s="101"/>
      <c r="P804" s="101"/>
      <c r="Q804" s="1"/>
      <c r="R804" s="2"/>
    </row>
    <row r="805" spans="2:21" ht="15" customHeight="1" x14ac:dyDescent="0.8">
      <c r="B805" s="1"/>
      <c r="O805" s="101"/>
      <c r="P805" s="101"/>
      <c r="Q805" s="1"/>
      <c r="R805" s="2"/>
    </row>
    <row r="806" spans="2:21" ht="15" customHeight="1" x14ac:dyDescent="0.8">
      <c r="B806" s="1"/>
      <c r="O806" s="101"/>
      <c r="P806" s="101"/>
      <c r="Q806" s="1"/>
      <c r="R806" s="2"/>
    </row>
    <row r="807" spans="2:21" ht="15" customHeight="1" x14ac:dyDescent="0.8">
      <c r="B807" s="1"/>
      <c r="O807" s="101"/>
      <c r="P807" s="101"/>
      <c r="Q807" s="1"/>
      <c r="R807" s="2"/>
    </row>
    <row r="808" spans="2:21" ht="75" customHeight="1" x14ac:dyDescent="0.8">
      <c r="B808" s="1"/>
      <c r="E808" s="99" t="s">
        <v>1704</v>
      </c>
      <c r="O808" s="227" t="s">
        <v>1705</v>
      </c>
      <c r="P808" s="227"/>
      <c r="Q808" s="1"/>
      <c r="R808" s="2"/>
      <c r="T808" s="102"/>
    </row>
    <row r="809" spans="2:21" ht="72.75" customHeight="1" x14ac:dyDescent="0.8">
      <c r="B809" s="1"/>
      <c r="E809" s="99" t="s">
        <v>1706</v>
      </c>
      <c r="L809" s="227" t="s">
        <v>1707</v>
      </c>
      <c r="M809" s="227"/>
      <c r="N809" s="227"/>
      <c r="O809" s="227"/>
      <c r="P809" s="227"/>
      <c r="Q809" s="227"/>
      <c r="R809" s="227"/>
      <c r="S809" s="227"/>
      <c r="T809" s="102"/>
      <c r="U809" s="104"/>
    </row>
    <row r="810" spans="2:21" ht="20.25" customHeight="1" x14ac:dyDescent="0.4">
      <c r="T810" s="102"/>
      <c r="U810" s="104"/>
    </row>
  </sheetData>
  <autoFilter ref="A17:XFC787"/>
  <mergeCells count="38">
    <mergeCell ref="A13:S13"/>
    <mergeCell ref="A14:S14"/>
    <mergeCell ref="A15:S15"/>
    <mergeCell ref="U22:U25"/>
    <mergeCell ref="U338:U341"/>
    <mergeCell ref="U28:U30"/>
    <mergeCell ref="U42:U43"/>
    <mergeCell ref="U40:U41"/>
    <mergeCell ref="U69:U70"/>
    <mergeCell ref="U53:U54"/>
    <mergeCell ref="U107:U108"/>
    <mergeCell ref="U117:U118"/>
    <mergeCell ref="U234:U235"/>
    <mergeCell ref="L809:S809"/>
    <mergeCell ref="U709:U711"/>
    <mergeCell ref="U703:U705"/>
    <mergeCell ref="U691:U692"/>
    <mergeCell ref="O793:P793"/>
    <mergeCell ref="O808:P808"/>
    <mergeCell ref="U779:U781"/>
    <mergeCell ref="U58:U60"/>
    <mergeCell ref="U89:U91"/>
    <mergeCell ref="U652:U654"/>
    <mergeCell ref="U349:U352"/>
    <mergeCell ref="U550:U552"/>
    <mergeCell ref="U546:U548"/>
    <mergeCell ref="U363:U365"/>
    <mergeCell ref="U357:U359"/>
    <mergeCell ref="U203:U204"/>
    <mergeCell ref="U174:U175"/>
    <mergeCell ref="U638:U639"/>
    <mergeCell ref="U640:U642"/>
    <mergeCell ref="U645:U647"/>
    <mergeCell ref="U656:U659"/>
    <mergeCell ref="U746:U749"/>
    <mergeCell ref="U662:U663"/>
    <mergeCell ref="U345:U346"/>
    <mergeCell ref="U674:U677"/>
  </mergeCells>
  <conditionalFormatting sqref="T788">
    <cfRule type="containsText" dxfId="3" priority="1" operator="containsText" text="C/COSTO">
      <formula>NOT(ISERROR(SEARCH("C/COSTO",T788)))</formula>
    </cfRule>
    <cfRule type="containsText" dxfId="2" priority="2" operator="containsText" text="#N/A">
      <formula>NOT(ISERROR(SEARCH("#N/A",T788)))</formula>
    </cfRule>
  </conditionalFormatting>
  <printOptions horizontalCentered="1" verticalCentered="1"/>
  <pageMargins left="0" right="0" top="0" bottom="0" header="0.31496062992125984" footer="0.31496062992125984"/>
  <pageSetup paperSize="14" scale="14" fitToHeight="0" orientation="landscape" r:id="rId1"/>
  <rowBreaks count="1" manualBreakCount="1">
    <brk id="126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opLeftCell="A2" workbookViewId="0">
      <selection activeCell="A3" sqref="A3"/>
    </sheetView>
  </sheetViews>
  <sheetFormatPr baseColWidth="10" defaultRowHeight="15" x14ac:dyDescent="0.25"/>
  <cols>
    <col min="1" max="1" width="135.7109375" bestFit="1" customWidth="1"/>
    <col min="3" max="3" width="14.42578125" customWidth="1"/>
    <col min="4" max="4" width="11.140625" customWidth="1"/>
  </cols>
  <sheetData>
    <row r="1" spans="1:4" ht="15.75" thickBot="1" x14ac:dyDescent="0.3"/>
    <row r="2" spans="1:4" ht="15.75" thickBot="1" x14ac:dyDescent="0.3">
      <c r="A2" s="131" t="s">
        <v>1729</v>
      </c>
      <c r="B2" s="132" t="s">
        <v>1730</v>
      </c>
      <c r="C2" s="132" t="s">
        <v>1731</v>
      </c>
      <c r="D2" s="133" t="s">
        <v>1732</v>
      </c>
    </row>
    <row r="3" spans="1:4" x14ac:dyDescent="0.25">
      <c r="A3" s="134" t="s">
        <v>233</v>
      </c>
      <c r="B3" s="135" t="s">
        <v>234</v>
      </c>
      <c r="C3" s="135" t="s">
        <v>1537</v>
      </c>
      <c r="D3" s="136">
        <v>40</v>
      </c>
    </row>
    <row r="4" spans="1:4" x14ac:dyDescent="0.25">
      <c r="A4" s="137" t="s">
        <v>871</v>
      </c>
      <c r="B4" s="135" t="s">
        <v>234</v>
      </c>
      <c r="C4" s="135" t="s">
        <v>1537</v>
      </c>
      <c r="D4" s="139">
        <v>2</v>
      </c>
    </row>
    <row r="5" spans="1:4" x14ac:dyDescent="0.25">
      <c r="A5" s="137" t="s">
        <v>1625</v>
      </c>
      <c r="B5" s="135" t="s">
        <v>234</v>
      </c>
      <c r="C5" s="135" t="s">
        <v>1537</v>
      </c>
      <c r="D5" s="139">
        <v>30</v>
      </c>
    </row>
    <row r="6" spans="1:4" x14ac:dyDescent="0.25">
      <c r="A6" s="137" t="s">
        <v>1708</v>
      </c>
      <c r="B6" s="135" t="s">
        <v>234</v>
      </c>
      <c r="C6" s="135" t="s">
        <v>1537</v>
      </c>
      <c r="D6" s="139">
        <v>2</v>
      </c>
    </row>
    <row r="7" spans="1:4" x14ac:dyDescent="0.25">
      <c r="A7" s="137" t="s">
        <v>1709</v>
      </c>
      <c r="B7" s="135" t="s">
        <v>234</v>
      </c>
      <c r="C7" s="135" t="s">
        <v>1537</v>
      </c>
      <c r="D7" s="139">
        <v>2</v>
      </c>
    </row>
    <row r="8" spans="1:4" x14ac:dyDescent="0.25">
      <c r="A8" s="137" t="s">
        <v>1710</v>
      </c>
      <c r="B8" s="135" t="s">
        <v>234</v>
      </c>
      <c r="C8" s="135" t="s">
        <v>1537</v>
      </c>
      <c r="D8" s="139">
        <v>40</v>
      </c>
    </row>
    <row r="9" spans="1:4" x14ac:dyDescent="0.25">
      <c r="A9" s="137" t="s">
        <v>2295</v>
      </c>
      <c r="B9" s="135" t="s">
        <v>234</v>
      </c>
      <c r="C9" s="135" t="s">
        <v>1537</v>
      </c>
      <c r="D9" s="139">
        <v>30</v>
      </c>
    </row>
    <row r="10" spans="1:4" x14ac:dyDescent="0.25">
      <c r="A10" s="137" t="s">
        <v>1713</v>
      </c>
      <c r="B10" s="135" t="s">
        <v>234</v>
      </c>
      <c r="C10" s="135" t="s">
        <v>1537</v>
      </c>
      <c r="D10" s="139">
        <v>2</v>
      </c>
    </row>
    <row r="11" spans="1:4" x14ac:dyDescent="0.25">
      <c r="A11" s="140" t="s">
        <v>1714</v>
      </c>
      <c r="B11" s="135" t="s">
        <v>234</v>
      </c>
      <c r="C11" s="135" t="s">
        <v>1537</v>
      </c>
      <c r="D11" s="139">
        <v>2</v>
      </c>
    </row>
    <row r="12" spans="1:4" x14ac:dyDescent="0.25">
      <c r="A12" s="137" t="s">
        <v>1715</v>
      </c>
      <c r="B12" s="135" t="s">
        <v>234</v>
      </c>
      <c r="C12" s="135" t="s">
        <v>1537</v>
      </c>
      <c r="D12" s="139">
        <v>2</v>
      </c>
    </row>
    <row r="13" spans="1:4" x14ac:dyDescent="0.25">
      <c r="A13" s="137" t="s">
        <v>1716</v>
      </c>
      <c r="B13" s="135" t="s">
        <v>234</v>
      </c>
      <c r="C13" s="135" t="s">
        <v>1537</v>
      </c>
      <c r="D13" s="139">
        <v>2</v>
      </c>
    </row>
    <row r="14" spans="1:4" x14ac:dyDescent="0.25">
      <c r="A14" s="137" t="s">
        <v>1717</v>
      </c>
      <c r="B14" s="135" t="s">
        <v>234</v>
      </c>
      <c r="C14" s="135" t="s">
        <v>1537</v>
      </c>
      <c r="D14" s="139">
        <v>2</v>
      </c>
    </row>
    <row r="15" spans="1:4" x14ac:dyDescent="0.25">
      <c r="A15" s="137" t="s">
        <v>1721</v>
      </c>
      <c r="B15" s="135" t="s">
        <v>234</v>
      </c>
      <c r="C15" s="135" t="s">
        <v>1722</v>
      </c>
      <c r="D15" s="139">
        <v>1</v>
      </c>
    </row>
    <row r="16" spans="1:4" x14ac:dyDescent="0.25">
      <c r="A16" s="137" t="s">
        <v>1724</v>
      </c>
      <c r="B16" s="135" t="s">
        <v>234</v>
      </c>
      <c r="C16" s="135" t="s">
        <v>1722</v>
      </c>
      <c r="D16" s="139">
        <v>1</v>
      </c>
    </row>
    <row r="17" spans="1:4" x14ac:dyDescent="0.25">
      <c r="A17" s="137" t="s">
        <v>1725</v>
      </c>
      <c r="B17" s="135" t="s">
        <v>234</v>
      </c>
      <c r="C17" s="135" t="s">
        <v>1722</v>
      </c>
      <c r="D17" s="139">
        <v>1</v>
      </c>
    </row>
    <row r="18" spans="1:4" x14ac:dyDescent="0.25">
      <c r="A18" s="137" t="s">
        <v>1723</v>
      </c>
      <c r="B18" s="135" t="s">
        <v>234</v>
      </c>
      <c r="C18" s="135" t="s">
        <v>1537</v>
      </c>
      <c r="D18" s="139">
        <v>30</v>
      </c>
    </row>
    <row r="19" spans="1:4" x14ac:dyDescent="0.25">
      <c r="A19" s="137" t="s">
        <v>2296</v>
      </c>
      <c r="B19" s="138" t="s">
        <v>234</v>
      </c>
      <c r="C19" s="138" t="s">
        <v>1537</v>
      </c>
      <c r="D19" s="139">
        <v>8</v>
      </c>
    </row>
    <row r="20" spans="1:4" x14ac:dyDescent="0.25">
      <c r="A20" s="137" t="s">
        <v>1918</v>
      </c>
      <c r="B20" s="138" t="s">
        <v>234</v>
      </c>
      <c r="C20" s="138" t="s">
        <v>1537</v>
      </c>
      <c r="D20" s="139">
        <v>10</v>
      </c>
    </row>
    <row r="21" spans="1:4" x14ac:dyDescent="0.25">
      <c r="A21" s="137" t="s">
        <v>2297</v>
      </c>
      <c r="B21" s="138" t="s">
        <v>234</v>
      </c>
      <c r="C21" s="138" t="s">
        <v>1537</v>
      </c>
      <c r="D21" s="139">
        <v>10</v>
      </c>
    </row>
    <row r="22" spans="1:4" x14ac:dyDescent="0.25">
      <c r="A22" s="137" t="s">
        <v>2298</v>
      </c>
      <c r="B22" s="138" t="s">
        <v>234</v>
      </c>
      <c r="C22" s="138" t="s">
        <v>1537</v>
      </c>
      <c r="D22" s="139">
        <v>35</v>
      </c>
    </row>
    <row r="23" spans="1:4" x14ac:dyDescent="0.25">
      <c r="A23" s="137" t="s">
        <v>2299</v>
      </c>
      <c r="B23" s="138" t="s">
        <v>234</v>
      </c>
      <c r="C23" s="138" t="s">
        <v>1537</v>
      </c>
      <c r="D23" s="139">
        <v>20</v>
      </c>
    </row>
    <row r="24" spans="1:4" x14ac:dyDescent="0.25">
      <c r="A24" s="137" t="s">
        <v>2300</v>
      </c>
      <c r="B24" s="138" t="s">
        <v>234</v>
      </c>
      <c r="C24" s="138" t="s">
        <v>1537</v>
      </c>
      <c r="D24" s="139">
        <v>24</v>
      </c>
    </row>
    <row r="25" spans="1:4" x14ac:dyDescent="0.25">
      <c r="A25" s="137" t="s">
        <v>2301</v>
      </c>
      <c r="B25" s="138" t="s">
        <v>234</v>
      </c>
      <c r="C25" s="138" t="s">
        <v>1537</v>
      </c>
      <c r="D25" s="139">
        <v>30</v>
      </c>
    </row>
    <row r="26" spans="1:4" x14ac:dyDescent="0.25">
      <c r="A26" s="137" t="s">
        <v>2302</v>
      </c>
      <c r="B26" s="138" t="s">
        <v>234</v>
      </c>
      <c r="C26" s="138" t="s">
        <v>1537</v>
      </c>
      <c r="D26" s="139">
        <v>30</v>
      </c>
    </row>
    <row r="27" spans="1:4" x14ac:dyDescent="0.25">
      <c r="A27" s="137" t="s">
        <v>2305</v>
      </c>
      <c r="B27" s="138" t="s">
        <v>234</v>
      </c>
      <c r="C27" s="138" t="s">
        <v>1537</v>
      </c>
      <c r="D27" s="139">
        <v>20</v>
      </c>
    </row>
    <row r="28" spans="1:4" x14ac:dyDescent="0.25">
      <c r="A28" s="137" t="s">
        <v>2309</v>
      </c>
      <c r="B28" s="138" t="s">
        <v>234</v>
      </c>
      <c r="C28" s="138" t="s">
        <v>1537</v>
      </c>
      <c r="D28" s="139">
        <v>2</v>
      </c>
    </row>
    <row r="29" spans="1:4" x14ac:dyDescent="0.25">
      <c r="A29" s="137" t="s">
        <v>2315</v>
      </c>
      <c r="B29" s="138" t="s">
        <v>234</v>
      </c>
      <c r="C29" s="138" t="s">
        <v>1722</v>
      </c>
      <c r="D29" s="139">
        <v>1</v>
      </c>
    </row>
    <row r="30" spans="1:4" x14ac:dyDescent="0.25">
      <c r="A30" s="137" t="s">
        <v>2317</v>
      </c>
      <c r="B30" s="138" t="s">
        <v>234</v>
      </c>
      <c r="C30" s="138" t="s">
        <v>1537</v>
      </c>
      <c r="D30" s="139">
        <v>20</v>
      </c>
    </row>
    <row r="31" spans="1:4" x14ac:dyDescent="0.25">
      <c r="A31" s="137" t="s">
        <v>2318</v>
      </c>
      <c r="B31" s="138" t="s">
        <v>234</v>
      </c>
      <c r="C31" s="138" t="s">
        <v>1537</v>
      </c>
      <c r="D31" s="139">
        <v>20</v>
      </c>
    </row>
    <row r="32" spans="1:4" x14ac:dyDescent="0.25">
      <c r="A32" s="137" t="s">
        <v>1758</v>
      </c>
      <c r="B32" s="138" t="s">
        <v>234</v>
      </c>
      <c r="C32" s="138" t="s">
        <v>1537</v>
      </c>
      <c r="D32" s="139">
        <v>20</v>
      </c>
    </row>
    <row r="33" spans="1:4" x14ac:dyDescent="0.25">
      <c r="A33" s="137" t="s">
        <v>1768</v>
      </c>
      <c r="B33" s="138" t="s">
        <v>234</v>
      </c>
      <c r="C33" s="138" t="s">
        <v>1537</v>
      </c>
      <c r="D33" s="139">
        <v>20</v>
      </c>
    </row>
    <row r="34" spans="1:4" x14ac:dyDescent="0.25">
      <c r="A34" s="141" t="s">
        <v>2319</v>
      </c>
      <c r="B34" s="138" t="s">
        <v>234</v>
      </c>
      <c r="C34" s="138" t="s">
        <v>1537</v>
      </c>
      <c r="D34" s="139">
        <v>15</v>
      </c>
    </row>
    <row r="35" spans="1:4" x14ac:dyDescent="0.25">
      <c r="A35" s="142" t="s">
        <v>2320</v>
      </c>
      <c r="B35" s="138" t="s">
        <v>234</v>
      </c>
      <c r="C35" s="138" t="s">
        <v>1537</v>
      </c>
      <c r="D35" s="139">
        <v>12</v>
      </c>
    </row>
    <row r="36" spans="1:4" x14ac:dyDescent="0.25">
      <c r="A36" s="137" t="s">
        <v>2313</v>
      </c>
      <c r="B36" s="138" t="s">
        <v>234</v>
      </c>
      <c r="C36" s="138" t="s">
        <v>1722</v>
      </c>
      <c r="D36" s="139">
        <v>4</v>
      </c>
    </row>
    <row r="37" spans="1:4" x14ac:dyDescent="0.25">
      <c r="A37" s="137" t="s">
        <v>2326</v>
      </c>
      <c r="B37" s="138" t="s">
        <v>234</v>
      </c>
      <c r="C37" s="138" t="s">
        <v>1537</v>
      </c>
      <c r="D37" s="139">
        <v>40</v>
      </c>
    </row>
    <row r="38" spans="1:4" x14ac:dyDescent="0.25">
      <c r="A38" s="137" t="s">
        <v>2327</v>
      </c>
      <c r="B38" s="138" t="s">
        <v>234</v>
      </c>
      <c r="C38" s="138" t="s">
        <v>1537</v>
      </c>
      <c r="D38" s="139">
        <v>30</v>
      </c>
    </row>
    <row r="39" spans="1:4" x14ac:dyDescent="0.25">
      <c r="A39" s="137"/>
      <c r="B39" s="138"/>
      <c r="C39" s="138"/>
      <c r="D39" s="139"/>
    </row>
    <row r="40" spans="1:4" x14ac:dyDescent="0.25">
      <c r="A40" s="137"/>
      <c r="B40" s="138"/>
      <c r="C40" s="138"/>
      <c r="D40" s="139"/>
    </row>
    <row r="41" spans="1:4" x14ac:dyDescent="0.25">
      <c r="A41" s="143"/>
      <c r="B41" s="138"/>
      <c r="C41" s="138"/>
      <c r="D41" s="139"/>
    </row>
    <row r="42" spans="1:4" x14ac:dyDescent="0.25">
      <c r="A42" s="144"/>
      <c r="B42" s="138"/>
      <c r="C42" s="138"/>
      <c r="D42" s="139"/>
    </row>
    <row r="43" spans="1:4" x14ac:dyDescent="0.25">
      <c r="A43" s="137"/>
      <c r="B43" s="138"/>
      <c r="C43" s="138"/>
      <c r="D43" s="139"/>
    </row>
    <row r="44" spans="1:4" x14ac:dyDescent="0.25">
      <c r="A44" s="144"/>
      <c r="B44" s="138"/>
      <c r="C44" s="138"/>
      <c r="D44" s="139"/>
    </row>
    <row r="45" spans="1:4" x14ac:dyDescent="0.25">
      <c r="A45" s="137"/>
      <c r="B45" s="138"/>
      <c r="C45" s="138"/>
      <c r="D45" s="139"/>
    </row>
    <row r="46" spans="1:4" x14ac:dyDescent="0.25">
      <c r="A46" s="137"/>
      <c r="B46" s="138"/>
      <c r="C46" s="138"/>
      <c r="D46" s="139"/>
    </row>
    <row r="47" spans="1:4" x14ac:dyDescent="0.25">
      <c r="A47" s="137"/>
      <c r="B47" s="138"/>
      <c r="C47" s="138"/>
      <c r="D47" s="139"/>
    </row>
    <row r="48" spans="1:4" x14ac:dyDescent="0.25">
      <c r="A48" s="137"/>
      <c r="B48" s="138"/>
      <c r="C48" s="138"/>
      <c r="D48" s="139"/>
    </row>
    <row r="49" spans="1:4" x14ac:dyDescent="0.25">
      <c r="A49" s="137"/>
      <c r="B49" s="138"/>
      <c r="C49" s="138"/>
      <c r="D49" s="139"/>
    </row>
    <row r="50" spans="1:4" x14ac:dyDescent="0.25">
      <c r="A50" s="137"/>
      <c r="B50" s="138"/>
      <c r="C50" s="138"/>
      <c r="D50" s="139"/>
    </row>
    <row r="51" spans="1:4" x14ac:dyDescent="0.25">
      <c r="A51" s="137"/>
      <c r="B51" s="138"/>
      <c r="C51" s="138"/>
      <c r="D51" s="139"/>
    </row>
    <row r="52" spans="1:4" x14ac:dyDescent="0.25">
      <c r="A52" s="137"/>
      <c r="B52" s="138"/>
      <c r="C52" s="138"/>
      <c r="D52" s="139"/>
    </row>
    <row r="53" spans="1:4" x14ac:dyDescent="0.25">
      <c r="A53" s="137"/>
      <c r="B53" s="138"/>
      <c r="C53" s="138"/>
      <c r="D53" s="139"/>
    </row>
    <row r="54" spans="1:4" x14ac:dyDescent="0.25">
      <c r="A54" s="137"/>
      <c r="B54" s="138"/>
      <c r="C54" s="138"/>
      <c r="D54" s="139"/>
    </row>
    <row r="55" spans="1:4" x14ac:dyDescent="0.25">
      <c r="A55" s="137"/>
      <c r="B55" s="138"/>
      <c r="C55" s="138"/>
      <c r="D55" s="139"/>
    </row>
    <row r="56" spans="1:4" x14ac:dyDescent="0.25">
      <c r="A56" s="137"/>
      <c r="B56" s="138"/>
      <c r="C56" s="138"/>
      <c r="D56" s="139"/>
    </row>
    <row r="57" spans="1:4" x14ac:dyDescent="0.25">
      <c r="A57" s="137"/>
      <c r="B57" s="138"/>
      <c r="C57" s="138"/>
      <c r="D57" s="139"/>
    </row>
    <row r="58" spans="1:4" x14ac:dyDescent="0.25">
      <c r="A58" s="137"/>
      <c r="B58" s="138"/>
      <c r="C58" s="138"/>
      <c r="D58" s="139"/>
    </row>
    <row r="59" spans="1:4" x14ac:dyDescent="0.25">
      <c r="A59" s="137"/>
      <c r="B59" s="138"/>
      <c r="C59" s="138"/>
      <c r="D59" s="139"/>
    </row>
    <row r="60" spans="1:4" x14ac:dyDescent="0.25">
      <c r="A60" s="137"/>
      <c r="B60" s="138"/>
      <c r="C60" s="138"/>
      <c r="D60" s="139"/>
    </row>
    <row r="61" spans="1:4" x14ac:dyDescent="0.25">
      <c r="A61" s="137"/>
      <c r="B61" s="138"/>
      <c r="C61" s="138"/>
      <c r="D61" s="139"/>
    </row>
    <row r="62" spans="1:4" x14ac:dyDescent="0.25">
      <c r="A62" s="137"/>
      <c r="B62" s="138"/>
      <c r="C62" s="138"/>
      <c r="D62" s="139"/>
    </row>
    <row r="63" spans="1:4" x14ac:dyDescent="0.25">
      <c r="A63" s="137"/>
      <c r="B63" s="138"/>
      <c r="C63" s="138"/>
      <c r="D63" s="139"/>
    </row>
    <row r="64" spans="1:4" x14ac:dyDescent="0.25">
      <c r="A64" s="137"/>
      <c r="B64" s="138"/>
      <c r="C64" s="138"/>
      <c r="D64" s="139"/>
    </row>
    <row r="65" spans="1:4" x14ac:dyDescent="0.25">
      <c r="A65" s="137"/>
      <c r="B65" s="138"/>
      <c r="C65" s="138"/>
      <c r="D65" s="139"/>
    </row>
    <row r="66" spans="1:4" x14ac:dyDescent="0.25">
      <c r="A66" s="137"/>
      <c r="B66" s="138"/>
      <c r="C66" s="138"/>
      <c r="D66" s="139"/>
    </row>
    <row r="67" spans="1:4" x14ac:dyDescent="0.25">
      <c r="A67" s="137"/>
      <c r="B67" s="138"/>
      <c r="C67" s="138"/>
      <c r="D67" s="139"/>
    </row>
    <row r="68" spans="1:4" x14ac:dyDescent="0.25">
      <c r="A68" s="137"/>
      <c r="B68" s="138"/>
      <c r="C68" s="138"/>
      <c r="D68" s="139"/>
    </row>
    <row r="69" spans="1:4" x14ac:dyDescent="0.25">
      <c r="A69" s="137"/>
      <c r="B69" s="138"/>
      <c r="C69" s="138"/>
      <c r="D69" s="139"/>
    </row>
    <row r="70" spans="1:4" x14ac:dyDescent="0.25">
      <c r="A70" s="137"/>
      <c r="B70" s="138"/>
      <c r="C70" s="138"/>
      <c r="D70" s="139"/>
    </row>
    <row r="71" spans="1:4" x14ac:dyDescent="0.25">
      <c r="A71" s="137"/>
      <c r="B71" s="138"/>
      <c r="C71" s="138"/>
      <c r="D71" s="139"/>
    </row>
    <row r="72" spans="1:4" x14ac:dyDescent="0.25">
      <c r="A72" s="137"/>
      <c r="B72" s="138"/>
      <c r="C72" s="138"/>
      <c r="D72" s="139"/>
    </row>
    <row r="73" spans="1:4" x14ac:dyDescent="0.25">
      <c r="A73" s="137"/>
      <c r="B73" s="138"/>
      <c r="C73" s="138"/>
      <c r="D73" s="139"/>
    </row>
    <row r="74" spans="1:4" x14ac:dyDescent="0.25">
      <c r="A74" s="137"/>
      <c r="B74" s="138"/>
      <c r="C74" s="138"/>
      <c r="D74" s="139"/>
    </row>
    <row r="75" spans="1:4" x14ac:dyDescent="0.25">
      <c r="A75" s="137"/>
      <c r="B75" s="138"/>
      <c r="C75" s="138"/>
      <c r="D75" s="139"/>
    </row>
    <row r="76" spans="1:4" x14ac:dyDescent="0.25">
      <c r="A76" s="137"/>
      <c r="B76" s="138"/>
      <c r="C76" s="138"/>
      <c r="D76" s="139"/>
    </row>
    <row r="77" spans="1:4" x14ac:dyDescent="0.25">
      <c r="A77" s="137"/>
      <c r="B77" s="138"/>
      <c r="C77" s="138"/>
      <c r="D77" s="139"/>
    </row>
    <row r="78" spans="1:4" x14ac:dyDescent="0.25">
      <c r="A78" s="137"/>
      <c r="B78" s="138"/>
      <c r="C78" s="138"/>
      <c r="D78" s="139"/>
    </row>
    <row r="79" spans="1:4" x14ac:dyDescent="0.25">
      <c r="A79" s="137"/>
      <c r="B79" s="138"/>
      <c r="C79" s="138"/>
      <c r="D79" s="139"/>
    </row>
    <row r="80" spans="1:4" x14ac:dyDescent="0.25">
      <c r="A80" s="137"/>
      <c r="B80" s="138"/>
      <c r="C80" s="138"/>
      <c r="D80" s="139"/>
    </row>
    <row r="81" spans="1:4" x14ac:dyDescent="0.25">
      <c r="A81" s="137"/>
      <c r="B81" s="138"/>
      <c r="C81" s="138"/>
      <c r="D81" s="139"/>
    </row>
    <row r="82" spans="1:4" x14ac:dyDescent="0.25">
      <c r="A82" s="137"/>
      <c r="B82" s="138"/>
      <c r="C82" s="138"/>
      <c r="D82" s="139"/>
    </row>
    <row r="83" spans="1:4" x14ac:dyDescent="0.25">
      <c r="A83" s="137"/>
      <c r="B83" s="138"/>
      <c r="C83" s="138"/>
      <c r="D83" s="139"/>
    </row>
    <row r="84" spans="1:4" x14ac:dyDescent="0.25">
      <c r="A84" s="137"/>
      <c r="B84" s="138"/>
      <c r="C84" s="138"/>
      <c r="D84" s="139"/>
    </row>
    <row r="85" spans="1:4" x14ac:dyDescent="0.25">
      <c r="A85" s="137"/>
      <c r="B85" s="138"/>
      <c r="C85" s="138"/>
      <c r="D85" s="139"/>
    </row>
    <row r="86" spans="1:4" x14ac:dyDescent="0.25">
      <c r="A86" s="137"/>
      <c r="B86" s="138"/>
      <c r="C86" s="138"/>
      <c r="D86" s="139"/>
    </row>
    <row r="87" spans="1:4" x14ac:dyDescent="0.25">
      <c r="A87" s="137"/>
      <c r="B87" s="138"/>
      <c r="C87" s="138"/>
      <c r="D87" s="139"/>
    </row>
    <row r="88" spans="1:4" x14ac:dyDescent="0.25">
      <c r="A88" s="137"/>
      <c r="B88" s="138"/>
      <c r="C88" s="138"/>
      <c r="D88" s="139"/>
    </row>
    <row r="89" spans="1:4" x14ac:dyDescent="0.25">
      <c r="A89" s="137"/>
      <c r="B89" s="138"/>
      <c r="C89" s="138"/>
      <c r="D89" s="139"/>
    </row>
    <row r="90" spans="1:4" x14ac:dyDescent="0.25">
      <c r="A90" s="137"/>
      <c r="B90" s="138"/>
      <c r="C90" s="138"/>
      <c r="D90" s="139"/>
    </row>
    <row r="91" spans="1:4" x14ac:dyDescent="0.25">
      <c r="A91" s="137"/>
      <c r="B91" s="138"/>
      <c r="C91" s="138"/>
      <c r="D91" s="139"/>
    </row>
    <row r="92" spans="1:4" x14ac:dyDescent="0.25">
      <c r="A92" s="137"/>
      <c r="B92" s="138"/>
      <c r="C92" s="138"/>
      <c r="D92" s="139"/>
    </row>
    <row r="93" spans="1:4" x14ac:dyDescent="0.25">
      <c r="A93" s="137"/>
      <c r="B93" s="138"/>
      <c r="C93" s="138"/>
      <c r="D93" s="139"/>
    </row>
    <row r="94" spans="1:4" x14ac:dyDescent="0.25">
      <c r="A94" s="137"/>
      <c r="B94" s="138"/>
      <c r="C94" s="138"/>
      <c r="D94" s="139"/>
    </row>
    <row r="95" spans="1:4" x14ac:dyDescent="0.25">
      <c r="A95" s="137"/>
      <c r="B95" s="138"/>
      <c r="C95" s="138"/>
      <c r="D95" s="139"/>
    </row>
    <row r="96" spans="1:4" x14ac:dyDescent="0.25">
      <c r="A96" s="137"/>
      <c r="B96" s="138"/>
      <c r="C96" s="138"/>
      <c r="D96" s="139"/>
    </row>
    <row r="97" spans="1:4" x14ac:dyDescent="0.25">
      <c r="A97" s="137"/>
      <c r="B97" s="138"/>
      <c r="C97" s="138"/>
      <c r="D97" s="139"/>
    </row>
    <row r="98" spans="1:4" x14ac:dyDescent="0.25">
      <c r="A98" s="137"/>
      <c r="B98" s="138"/>
      <c r="C98" s="138"/>
      <c r="D98" s="139"/>
    </row>
    <row r="99" spans="1:4" x14ac:dyDescent="0.25">
      <c r="A99" s="137"/>
      <c r="B99" s="138"/>
      <c r="C99" s="138"/>
      <c r="D99" s="139"/>
    </row>
    <row r="100" spans="1:4" x14ac:dyDescent="0.25">
      <c r="A100" s="137"/>
      <c r="B100" s="138"/>
      <c r="C100" s="138"/>
      <c r="D100" s="139"/>
    </row>
    <row r="101" spans="1:4" x14ac:dyDescent="0.25">
      <c r="A101" s="137"/>
      <c r="B101" s="138"/>
      <c r="C101" s="138"/>
      <c r="D101" s="139"/>
    </row>
    <row r="102" spans="1:4" x14ac:dyDescent="0.25">
      <c r="A102" s="137"/>
      <c r="B102" s="138"/>
      <c r="C102" s="138"/>
      <c r="D102" s="139"/>
    </row>
    <row r="103" spans="1:4" x14ac:dyDescent="0.25">
      <c r="A103" s="137"/>
      <c r="B103" s="138"/>
      <c r="C103" s="138"/>
      <c r="D103" s="139"/>
    </row>
    <row r="104" spans="1:4" x14ac:dyDescent="0.25">
      <c r="A104" s="137"/>
      <c r="B104" s="138"/>
      <c r="C104" s="138"/>
      <c r="D104" s="139"/>
    </row>
    <row r="105" spans="1:4" x14ac:dyDescent="0.25">
      <c r="A105" s="137"/>
      <c r="B105" s="138"/>
      <c r="C105" s="138"/>
      <c r="D105" s="139"/>
    </row>
    <row r="106" spans="1:4" x14ac:dyDescent="0.25">
      <c r="A106" s="137"/>
      <c r="B106" s="138"/>
      <c r="C106" s="138"/>
      <c r="D106" s="139"/>
    </row>
    <row r="107" spans="1:4" x14ac:dyDescent="0.25">
      <c r="A107" s="137"/>
      <c r="B107" s="138"/>
      <c r="C107" s="138"/>
      <c r="D107" s="139"/>
    </row>
    <row r="108" spans="1:4" x14ac:dyDescent="0.25">
      <c r="A108" s="137"/>
      <c r="B108" s="138"/>
      <c r="C108" s="138"/>
      <c r="D108" s="139"/>
    </row>
    <row r="109" spans="1:4" x14ac:dyDescent="0.25">
      <c r="A109" s="137"/>
      <c r="B109" s="138"/>
      <c r="C109" s="138"/>
      <c r="D109" s="139"/>
    </row>
    <row r="110" spans="1:4" x14ac:dyDescent="0.25">
      <c r="A110" s="137"/>
      <c r="B110" s="138"/>
      <c r="C110" s="145"/>
      <c r="D110" s="139"/>
    </row>
    <row r="111" spans="1:4" x14ac:dyDescent="0.25">
      <c r="A111" s="137"/>
      <c r="B111" s="138"/>
      <c r="C111" s="145"/>
      <c r="D111" s="139"/>
    </row>
    <row r="112" spans="1:4" x14ac:dyDescent="0.25">
      <c r="A112" s="137"/>
      <c r="B112" s="138"/>
      <c r="C112" s="145"/>
      <c r="D112" s="139"/>
    </row>
    <row r="113" spans="1:4" x14ac:dyDescent="0.25">
      <c r="A113" s="137"/>
      <c r="B113" s="138"/>
      <c r="C113" s="145"/>
      <c r="D113" s="139"/>
    </row>
    <row r="114" spans="1:4" x14ac:dyDescent="0.25">
      <c r="A114" s="137"/>
      <c r="B114" s="138"/>
      <c r="C114" s="145"/>
      <c r="D114" s="139"/>
    </row>
    <row r="115" spans="1:4" x14ac:dyDescent="0.25">
      <c r="A115" s="137"/>
      <c r="B115" s="138"/>
      <c r="C115" s="145"/>
      <c r="D115" s="139"/>
    </row>
    <row r="116" spans="1:4" x14ac:dyDescent="0.25">
      <c r="A116" s="137"/>
      <c r="B116" s="138"/>
      <c r="C116" s="145"/>
      <c r="D116" s="139"/>
    </row>
    <row r="117" spans="1:4" x14ac:dyDescent="0.25">
      <c r="A117" s="137"/>
      <c r="B117" s="138"/>
      <c r="C117" s="145"/>
      <c r="D117" s="139"/>
    </row>
    <row r="118" spans="1:4" x14ac:dyDescent="0.25">
      <c r="A118" s="137"/>
      <c r="B118" s="138"/>
      <c r="C118" s="145"/>
      <c r="D118" s="139"/>
    </row>
    <row r="119" spans="1:4" x14ac:dyDescent="0.25">
      <c r="A119" s="137"/>
      <c r="B119" s="138"/>
      <c r="C119" s="145"/>
      <c r="D119" s="139"/>
    </row>
    <row r="120" spans="1:4" x14ac:dyDescent="0.25">
      <c r="A120" s="137"/>
      <c r="B120" s="138"/>
      <c r="C120" s="145"/>
      <c r="D120" s="139"/>
    </row>
    <row r="121" spans="1:4" x14ac:dyDescent="0.25">
      <c r="A121" s="137"/>
      <c r="B121" s="138"/>
      <c r="C121" s="138"/>
      <c r="D121" s="139"/>
    </row>
    <row r="122" spans="1:4" x14ac:dyDescent="0.25">
      <c r="A122" s="137"/>
      <c r="B122" s="138"/>
      <c r="C122" s="138"/>
      <c r="D122" s="139"/>
    </row>
    <row r="123" spans="1:4" x14ac:dyDescent="0.25">
      <c r="A123" s="137"/>
      <c r="B123" s="138"/>
      <c r="C123" s="138"/>
      <c r="D123" s="139"/>
    </row>
    <row r="124" spans="1:4" x14ac:dyDescent="0.25">
      <c r="A124" s="137"/>
      <c r="B124" s="138"/>
      <c r="C124" s="138"/>
      <c r="D124" s="139"/>
    </row>
    <row r="125" spans="1:4" x14ac:dyDescent="0.25">
      <c r="A125" s="137"/>
      <c r="B125" s="138"/>
      <c r="C125" s="138"/>
      <c r="D125" s="139"/>
    </row>
    <row r="126" spans="1:4" x14ac:dyDescent="0.25">
      <c r="A126" s="137"/>
      <c r="B126" s="138"/>
      <c r="C126" s="138"/>
      <c r="D126" s="139"/>
    </row>
    <row r="127" spans="1:4" x14ac:dyDescent="0.25">
      <c r="A127" s="137"/>
      <c r="B127" s="138"/>
      <c r="C127" s="138"/>
      <c r="D127" s="139"/>
    </row>
    <row r="128" spans="1:4" x14ac:dyDescent="0.25">
      <c r="A128" s="137"/>
      <c r="B128" s="138"/>
      <c r="C128" s="138"/>
      <c r="D128" s="139"/>
    </row>
    <row r="129" spans="1:4" x14ac:dyDescent="0.25">
      <c r="A129" s="137"/>
      <c r="B129" s="138"/>
      <c r="C129" s="138"/>
      <c r="D129" s="139"/>
    </row>
    <row r="130" spans="1:4" x14ac:dyDescent="0.25">
      <c r="A130" s="137"/>
      <c r="B130" s="138"/>
      <c r="C130" s="138"/>
      <c r="D130" s="139"/>
    </row>
    <row r="131" spans="1:4" x14ac:dyDescent="0.25">
      <c r="A131" s="137"/>
      <c r="B131" s="138"/>
      <c r="C131" s="138"/>
      <c r="D131" s="139"/>
    </row>
    <row r="132" spans="1:4" x14ac:dyDescent="0.25">
      <c r="A132" s="137"/>
      <c r="B132" s="138"/>
      <c r="C132" s="138"/>
      <c r="D132" s="139"/>
    </row>
    <row r="133" spans="1:4" x14ac:dyDescent="0.25">
      <c r="A133" s="137"/>
      <c r="B133" s="138"/>
      <c r="C133" s="138"/>
      <c r="D133" s="1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44"/>
  <sheetViews>
    <sheetView view="pageBreakPreview" zoomScale="87" zoomScaleNormal="60" zoomScaleSheetLayoutView="87" workbookViewId="0">
      <selection activeCell="A19" sqref="A19"/>
    </sheetView>
  </sheetViews>
  <sheetFormatPr baseColWidth="10" defaultRowHeight="15" x14ac:dyDescent="0.25"/>
  <cols>
    <col min="1" max="1" width="135.7109375" style="129" bestFit="1" customWidth="1"/>
    <col min="3" max="3" width="14.42578125" customWidth="1"/>
    <col min="4" max="4" width="11.140625" style="130" customWidth="1"/>
    <col min="5" max="5" width="11.42578125" style="130"/>
  </cols>
  <sheetData>
    <row r="1" spans="1:5" ht="15.75" thickBot="1" x14ac:dyDescent="0.3">
      <c r="A1" s="129">
        <v>1</v>
      </c>
      <c r="B1">
        <v>2</v>
      </c>
      <c r="C1">
        <v>3</v>
      </c>
      <c r="D1" s="130">
        <v>4</v>
      </c>
      <c r="E1" s="130">
        <v>5</v>
      </c>
    </row>
    <row r="2" spans="1:5" ht="15.75" thickBot="1" x14ac:dyDescent="0.3">
      <c r="A2" s="131" t="s">
        <v>1729</v>
      </c>
      <c r="B2" s="132" t="s">
        <v>1730</v>
      </c>
      <c r="C2" s="132" t="s">
        <v>1731</v>
      </c>
      <c r="D2" s="133" t="s">
        <v>1732</v>
      </c>
    </row>
    <row r="3" spans="1:5" x14ac:dyDescent="0.25">
      <c r="A3" s="134" t="s">
        <v>1733</v>
      </c>
      <c r="B3" s="135" t="s">
        <v>234</v>
      </c>
      <c r="C3" s="135" t="s">
        <v>1734</v>
      </c>
      <c r="D3" s="136">
        <v>40</v>
      </c>
    </row>
    <row r="4" spans="1:5" x14ac:dyDescent="0.25">
      <c r="A4" s="137" t="s">
        <v>1735</v>
      </c>
      <c r="B4" s="138" t="s">
        <v>234</v>
      </c>
      <c r="C4" s="138" t="s">
        <v>1734</v>
      </c>
      <c r="D4" s="139">
        <v>40</v>
      </c>
    </row>
    <row r="5" spans="1:5" x14ac:dyDescent="0.25">
      <c r="A5" s="137" t="s">
        <v>1736</v>
      </c>
      <c r="B5" s="138" t="s">
        <v>234</v>
      </c>
      <c r="C5" s="138" t="s">
        <v>1734</v>
      </c>
      <c r="D5" s="139">
        <v>5</v>
      </c>
    </row>
    <row r="6" spans="1:5" x14ac:dyDescent="0.25">
      <c r="A6" s="137" t="s">
        <v>1737</v>
      </c>
      <c r="B6" s="138" t="s">
        <v>234</v>
      </c>
      <c r="C6" s="138" t="s">
        <v>1734</v>
      </c>
      <c r="D6" s="139">
        <v>10</v>
      </c>
    </row>
    <row r="7" spans="1:5" x14ac:dyDescent="0.25">
      <c r="A7" s="137" t="s">
        <v>1738</v>
      </c>
      <c r="B7" s="138" t="s">
        <v>234</v>
      </c>
      <c r="C7" s="138" t="s">
        <v>1734</v>
      </c>
      <c r="D7" s="139">
        <v>40</v>
      </c>
    </row>
    <row r="8" spans="1:5" x14ac:dyDescent="0.25">
      <c r="A8" s="137" t="s">
        <v>1739</v>
      </c>
      <c r="B8" s="138" t="s">
        <v>234</v>
      </c>
      <c r="C8" s="138" t="s">
        <v>1734</v>
      </c>
      <c r="D8" s="139">
        <v>40</v>
      </c>
    </row>
    <row r="9" spans="1:5" x14ac:dyDescent="0.25">
      <c r="A9" s="137" t="s">
        <v>1740</v>
      </c>
      <c r="B9" s="138" t="s">
        <v>234</v>
      </c>
      <c r="C9" s="138" t="s">
        <v>1734</v>
      </c>
      <c r="D9" s="139">
        <v>40</v>
      </c>
    </row>
    <row r="10" spans="1:5" x14ac:dyDescent="0.25">
      <c r="A10" s="137" t="s">
        <v>1741</v>
      </c>
      <c r="B10" s="138" t="s">
        <v>234</v>
      </c>
      <c r="C10" s="138" t="s">
        <v>1722</v>
      </c>
      <c r="D10" s="139">
        <v>1</v>
      </c>
    </row>
    <row r="11" spans="1:5" x14ac:dyDescent="0.25">
      <c r="A11" s="140" t="s">
        <v>1742</v>
      </c>
      <c r="B11" s="138" t="s">
        <v>234</v>
      </c>
      <c r="C11" s="138" t="s">
        <v>1743</v>
      </c>
      <c r="D11" s="139">
        <v>1</v>
      </c>
    </row>
    <row r="12" spans="1:5" x14ac:dyDescent="0.25">
      <c r="A12" s="137" t="s">
        <v>1744</v>
      </c>
      <c r="B12" s="138" t="s">
        <v>234</v>
      </c>
      <c r="C12" s="138" t="s">
        <v>1734</v>
      </c>
      <c r="D12" s="139">
        <v>2</v>
      </c>
    </row>
    <row r="13" spans="1:5" x14ac:dyDescent="0.25">
      <c r="A13" s="137" t="s">
        <v>1745</v>
      </c>
      <c r="B13" s="138" t="s">
        <v>234</v>
      </c>
      <c r="C13" s="138" t="s">
        <v>1743</v>
      </c>
      <c r="D13" s="139">
        <v>1</v>
      </c>
    </row>
    <row r="14" spans="1:5" x14ac:dyDescent="0.25">
      <c r="A14" s="137" t="s">
        <v>1746</v>
      </c>
      <c r="B14" s="138" t="s">
        <v>234</v>
      </c>
      <c r="C14" s="138" t="s">
        <v>1743</v>
      </c>
      <c r="D14" s="139">
        <v>2</v>
      </c>
    </row>
    <row r="15" spans="1:5" x14ac:dyDescent="0.25">
      <c r="A15" s="137" t="s">
        <v>1747</v>
      </c>
      <c r="B15" s="138" t="s">
        <v>234</v>
      </c>
      <c r="C15" s="138" t="s">
        <v>1743</v>
      </c>
      <c r="D15" s="139">
        <v>1</v>
      </c>
    </row>
    <row r="16" spans="1:5" x14ac:dyDescent="0.25">
      <c r="A16" s="137" t="s">
        <v>1748</v>
      </c>
      <c r="B16" s="138" t="s">
        <v>234</v>
      </c>
      <c r="C16" s="138" t="s">
        <v>1743</v>
      </c>
      <c r="D16" s="139">
        <v>2</v>
      </c>
    </row>
    <row r="17" spans="1:4" x14ac:dyDescent="0.25">
      <c r="A17" s="137" t="s">
        <v>1747</v>
      </c>
      <c r="B17" s="138" t="s">
        <v>1749</v>
      </c>
      <c r="C17" s="138" t="s">
        <v>1743</v>
      </c>
      <c r="D17" s="139">
        <v>2</v>
      </c>
    </row>
    <row r="18" spans="1:4" x14ac:dyDescent="0.25">
      <c r="A18" s="137" t="s">
        <v>1750</v>
      </c>
      <c r="B18" s="138" t="s">
        <v>234</v>
      </c>
      <c r="C18" s="138" t="s">
        <v>1734</v>
      </c>
      <c r="D18" s="139">
        <v>8</v>
      </c>
    </row>
    <row r="19" spans="1:4" x14ac:dyDescent="0.25">
      <c r="A19" s="137" t="s">
        <v>1751</v>
      </c>
      <c r="B19" s="138" t="s">
        <v>234</v>
      </c>
      <c r="C19" s="138" t="s">
        <v>1734</v>
      </c>
      <c r="D19" s="139">
        <v>2</v>
      </c>
    </row>
    <row r="20" spans="1:4" x14ac:dyDescent="0.25">
      <c r="A20" s="137" t="s">
        <v>1752</v>
      </c>
      <c r="B20" s="138" t="s">
        <v>234</v>
      </c>
      <c r="C20" s="138" t="s">
        <v>1743</v>
      </c>
      <c r="D20" s="139">
        <v>2</v>
      </c>
    </row>
    <row r="21" spans="1:4" x14ac:dyDescent="0.25">
      <c r="A21" s="137" t="s">
        <v>1753</v>
      </c>
      <c r="B21" s="138" t="s">
        <v>234</v>
      </c>
      <c r="C21" s="138" t="s">
        <v>1734</v>
      </c>
      <c r="D21" s="139">
        <v>4</v>
      </c>
    </row>
    <row r="22" spans="1:4" x14ac:dyDescent="0.25">
      <c r="A22" s="137" t="s">
        <v>1754</v>
      </c>
      <c r="B22" s="138" t="s">
        <v>234</v>
      </c>
      <c r="C22" s="138" t="s">
        <v>1743</v>
      </c>
      <c r="D22" s="139">
        <v>4</v>
      </c>
    </row>
    <row r="23" spans="1:4" x14ac:dyDescent="0.25">
      <c r="A23" s="137" t="s">
        <v>1755</v>
      </c>
      <c r="B23" s="138" t="s">
        <v>234</v>
      </c>
      <c r="C23" s="138" t="s">
        <v>1734</v>
      </c>
      <c r="D23" s="139">
        <v>3</v>
      </c>
    </row>
    <row r="24" spans="1:4" x14ac:dyDescent="0.25">
      <c r="A24" s="137" t="s">
        <v>1756</v>
      </c>
      <c r="B24" s="138" t="s">
        <v>234</v>
      </c>
      <c r="C24" s="138" t="s">
        <v>1734</v>
      </c>
      <c r="D24" s="139">
        <v>2</v>
      </c>
    </row>
    <row r="25" spans="1:4" x14ac:dyDescent="0.25">
      <c r="A25" s="137" t="s">
        <v>1757</v>
      </c>
      <c r="B25" s="138" t="s">
        <v>234</v>
      </c>
      <c r="C25" s="138" t="s">
        <v>1722</v>
      </c>
      <c r="D25" s="139">
        <v>4</v>
      </c>
    </row>
    <row r="26" spans="1:4" x14ac:dyDescent="0.25">
      <c r="A26" s="137" t="s">
        <v>1758</v>
      </c>
      <c r="B26" s="138" t="s">
        <v>234</v>
      </c>
      <c r="C26" s="138" t="s">
        <v>1743</v>
      </c>
      <c r="D26" s="139">
        <v>8</v>
      </c>
    </row>
    <row r="27" spans="1:4" x14ac:dyDescent="0.25">
      <c r="A27" s="137" t="s">
        <v>1759</v>
      </c>
      <c r="B27" s="138" t="s">
        <v>234</v>
      </c>
      <c r="C27" s="138" t="s">
        <v>1734</v>
      </c>
      <c r="D27" s="139">
        <v>40</v>
      </c>
    </row>
    <row r="28" spans="1:4" x14ac:dyDescent="0.25">
      <c r="A28" s="137" t="s">
        <v>1760</v>
      </c>
      <c r="B28" s="138" t="s">
        <v>234</v>
      </c>
      <c r="C28" s="138" t="s">
        <v>1734</v>
      </c>
      <c r="D28" s="139">
        <v>20</v>
      </c>
    </row>
    <row r="29" spans="1:4" x14ac:dyDescent="0.25">
      <c r="A29" s="137" t="s">
        <v>1761</v>
      </c>
      <c r="B29" s="138" t="s">
        <v>234</v>
      </c>
      <c r="C29" s="138" t="s">
        <v>1734</v>
      </c>
      <c r="D29" s="139">
        <v>10</v>
      </c>
    </row>
    <row r="30" spans="1:4" x14ac:dyDescent="0.25">
      <c r="A30" s="137" t="s">
        <v>1762</v>
      </c>
      <c r="B30" s="138" t="s">
        <v>234</v>
      </c>
      <c r="C30" s="138" t="s">
        <v>1734</v>
      </c>
      <c r="D30" s="139">
        <v>10</v>
      </c>
    </row>
    <row r="31" spans="1:4" x14ac:dyDescent="0.25">
      <c r="A31" s="137" t="s">
        <v>1763</v>
      </c>
      <c r="B31" s="138" t="s">
        <v>234</v>
      </c>
      <c r="C31" s="138" t="s">
        <v>1734</v>
      </c>
      <c r="D31" s="139">
        <v>10</v>
      </c>
    </row>
    <row r="32" spans="1:4" x14ac:dyDescent="0.25">
      <c r="A32" s="137" t="s">
        <v>1764</v>
      </c>
      <c r="B32" s="138" t="s">
        <v>234</v>
      </c>
      <c r="C32" s="138" t="s">
        <v>1734</v>
      </c>
      <c r="D32" s="139">
        <v>40</v>
      </c>
    </row>
    <row r="33" spans="1:4" x14ac:dyDescent="0.25">
      <c r="A33" s="137" t="s">
        <v>1765</v>
      </c>
      <c r="B33" s="138" t="s">
        <v>234</v>
      </c>
      <c r="C33" s="138" t="s">
        <v>1734</v>
      </c>
      <c r="D33" s="139">
        <v>2</v>
      </c>
    </row>
    <row r="34" spans="1:4" x14ac:dyDescent="0.25">
      <c r="A34" s="141" t="s">
        <v>1766</v>
      </c>
      <c r="B34" s="138" t="s">
        <v>234</v>
      </c>
      <c r="C34" s="138" t="s">
        <v>1743</v>
      </c>
      <c r="D34" s="139">
        <v>1</v>
      </c>
    </row>
    <row r="35" spans="1:4" x14ac:dyDescent="0.25">
      <c r="A35" s="142" t="s">
        <v>1767</v>
      </c>
      <c r="B35" s="138" t="s">
        <v>234</v>
      </c>
      <c r="C35" s="138" t="s">
        <v>1734</v>
      </c>
      <c r="D35" s="139">
        <v>40</v>
      </c>
    </row>
    <row r="36" spans="1:4" x14ac:dyDescent="0.25">
      <c r="A36" s="137" t="s">
        <v>1768</v>
      </c>
      <c r="B36" s="138" t="s">
        <v>234</v>
      </c>
      <c r="C36" s="138" t="s">
        <v>1734</v>
      </c>
      <c r="D36" s="139">
        <v>20</v>
      </c>
    </row>
    <row r="37" spans="1:4" x14ac:dyDescent="0.25">
      <c r="A37" s="137" t="s">
        <v>1738</v>
      </c>
      <c r="B37" s="138" t="s">
        <v>234</v>
      </c>
      <c r="C37" s="138" t="s">
        <v>1734</v>
      </c>
      <c r="D37" s="139">
        <v>40</v>
      </c>
    </row>
    <row r="38" spans="1:4" x14ac:dyDescent="0.25">
      <c r="A38" s="137" t="s">
        <v>1769</v>
      </c>
      <c r="B38" s="138" t="s">
        <v>234</v>
      </c>
      <c r="C38" s="138" t="s">
        <v>1734</v>
      </c>
      <c r="D38" s="139">
        <v>40</v>
      </c>
    </row>
    <row r="39" spans="1:4" x14ac:dyDescent="0.25">
      <c r="A39" s="137" t="s">
        <v>1770</v>
      </c>
      <c r="B39" s="138" t="s">
        <v>234</v>
      </c>
      <c r="C39" s="138" t="s">
        <v>1734</v>
      </c>
      <c r="D39" s="139">
        <v>40</v>
      </c>
    </row>
    <row r="40" spans="1:4" x14ac:dyDescent="0.25">
      <c r="A40" s="137" t="s">
        <v>1739</v>
      </c>
      <c r="B40" s="138" t="s">
        <v>234</v>
      </c>
      <c r="C40" s="138" t="s">
        <v>1734</v>
      </c>
      <c r="D40" s="139">
        <v>40</v>
      </c>
    </row>
    <row r="41" spans="1:4" x14ac:dyDescent="0.25">
      <c r="A41" s="143" t="s">
        <v>1771</v>
      </c>
      <c r="B41" s="138" t="s">
        <v>234</v>
      </c>
      <c r="C41" s="138" t="s">
        <v>1743</v>
      </c>
      <c r="D41" s="139">
        <v>2</v>
      </c>
    </row>
    <row r="42" spans="1:4" x14ac:dyDescent="0.25">
      <c r="A42" s="144" t="s">
        <v>1772</v>
      </c>
      <c r="B42" s="138" t="s">
        <v>234</v>
      </c>
      <c r="C42" s="138" t="s">
        <v>1743</v>
      </c>
      <c r="D42" s="139">
        <v>2</v>
      </c>
    </row>
    <row r="43" spans="1:4" x14ac:dyDescent="0.25">
      <c r="A43" s="137" t="s">
        <v>1773</v>
      </c>
      <c r="B43" s="138" t="s">
        <v>234</v>
      </c>
      <c r="C43" s="138" t="s">
        <v>1734</v>
      </c>
      <c r="D43" s="139">
        <v>10</v>
      </c>
    </row>
    <row r="44" spans="1:4" x14ac:dyDescent="0.25">
      <c r="A44" s="144" t="s">
        <v>1774</v>
      </c>
      <c r="B44" s="138" t="s">
        <v>234</v>
      </c>
      <c r="C44" s="138" t="s">
        <v>1734</v>
      </c>
      <c r="D44" s="139">
        <v>10</v>
      </c>
    </row>
    <row r="45" spans="1:4" x14ac:dyDescent="0.25">
      <c r="A45" s="137" t="s">
        <v>1775</v>
      </c>
      <c r="B45" s="138" t="s">
        <v>234</v>
      </c>
      <c r="C45" s="138" t="s">
        <v>1734</v>
      </c>
      <c r="D45" s="139">
        <v>5</v>
      </c>
    </row>
    <row r="46" spans="1:4" x14ac:dyDescent="0.25">
      <c r="A46" s="137" t="s">
        <v>1776</v>
      </c>
      <c r="B46" s="138" t="s">
        <v>234</v>
      </c>
      <c r="C46" s="138" t="s">
        <v>1734</v>
      </c>
      <c r="D46" s="139">
        <v>8</v>
      </c>
    </row>
    <row r="47" spans="1:4" x14ac:dyDescent="0.25">
      <c r="A47" s="137" t="s">
        <v>1777</v>
      </c>
      <c r="B47" s="138" t="s">
        <v>234</v>
      </c>
      <c r="C47" s="138" t="s">
        <v>1734</v>
      </c>
      <c r="D47" s="139">
        <v>10</v>
      </c>
    </row>
    <row r="48" spans="1:4" x14ac:dyDescent="0.25">
      <c r="A48" s="137" t="s">
        <v>1778</v>
      </c>
      <c r="B48" s="138" t="s">
        <v>234</v>
      </c>
      <c r="C48" s="138" t="s">
        <v>1734</v>
      </c>
      <c r="D48" s="139">
        <v>4</v>
      </c>
    </row>
    <row r="49" spans="1:4" x14ac:dyDescent="0.25">
      <c r="A49" s="137" t="s">
        <v>1779</v>
      </c>
      <c r="B49" s="138" t="s">
        <v>234</v>
      </c>
      <c r="C49" s="138" t="s">
        <v>1734</v>
      </c>
      <c r="D49" s="139">
        <v>10</v>
      </c>
    </row>
    <row r="50" spans="1:4" x14ac:dyDescent="0.25">
      <c r="A50" s="137" t="s">
        <v>1780</v>
      </c>
      <c r="B50" s="138" t="s">
        <v>234</v>
      </c>
      <c r="C50" s="138" t="s">
        <v>1734</v>
      </c>
      <c r="D50" s="139">
        <v>10</v>
      </c>
    </row>
    <row r="51" spans="1:4" x14ac:dyDescent="0.25">
      <c r="A51" s="137" t="s">
        <v>1781</v>
      </c>
      <c r="B51" s="138" t="s">
        <v>234</v>
      </c>
      <c r="C51" s="138" t="s">
        <v>1734</v>
      </c>
      <c r="D51" s="139">
        <v>5</v>
      </c>
    </row>
    <row r="52" spans="1:4" x14ac:dyDescent="0.25">
      <c r="A52" s="137" t="s">
        <v>1782</v>
      </c>
      <c r="B52" s="138" t="s">
        <v>234</v>
      </c>
      <c r="C52" s="138" t="s">
        <v>1743</v>
      </c>
      <c r="D52" s="139">
        <v>2</v>
      </c>
    </row>
    <row r="53" spans="1:4" x14ac:dyDescent="0.25">
      <c r="A53" s="137" t="s">
        <v>1783</v>
      </c>
      <c r="B53" s="138" t="s">
        <v>234</v>
      </c>
      <c r="C53" s="138" t="s">
        <v>1734</v>
      </c>
      <c r="D53" s="139">
        <v>12</v>
      </c>
    </row>
    <row r="54" spans="1:4" x14ac:dyDescent="0.25">
      <c r="A54" s="137" t="s">
        <v>1784</v>
      </c>
      <c r="B54" s="138" t="s">
        <v>234</v>
      </c>
      <c r="C54" s="138" t="s">
        <v>1734</v>
      </c>
      <c r="D54" s="139">
        <v>30</v>
      </c>
    </row>
    <row r="55" spans="1:4" x14ac:dyDescent="0.25">
      <c r="A55" s="137" t="s">
        <v>1785</v>
      </c>
      <c r="B55" s="138" t="s">
        <v>234</v>
      </c>
      <c r="C55" s="138" t="s">
        <v>1734</v>
      </c>
      <c r="D55" s="139">
        <v>3</v>
      </c>
    </row>
    <row r="56" spans="1:4" x14ac:dyDescent="0.25">
      <c r="A56" s="137" t="s">
        <v>1786</v>
      </c>
      <c r="B56" s="138" t="s">
        <v>234</v>
      </c>
      <c r="C56" s="138" t="s">
        <v>1734</v>
      </c>
      <c r="D56" s="139">
        <v>10</v>
      </c>
    </row>
    <row r="57" spans="1:4" x14ac:dyDescent="0.25">
      <c r="A57" s="137" t="s">
        <v>1787</v>
      </c>
      <c r="B57" s="138" t="s">
        <v>234</v>
      </c>
      <c r="C57" s="138" t="s">
        <v>1734</v>
      </c>
      <c r="D57" s="139">
        <v>5</v>
      </c>
    </row>
    <row r="58" spans="1:4" x14ac:dyDescent="0.25">
      <c r="A58" s="137" t="s">
        <v>1788</v>
      </c>
      <c r="B58" s="138" t="s">
        <v>234</v>
      </c>
      <c r="C58" s="138" t="s">
        <v>1734</v>
      </c>
      <c r="D58" s="139">
        <v>30</v>
      </c>
    </row>
    <row r="59" spans="1:4" x14ac:dyDescent="0.25">
      <c r="A59" s="137" t="s">
        <v>1789</v>
      </c>
      <c r="B59" s="138" t="s">
        <v>234</v>
      </c>
      <c r="C59" s="138" t="s">
        <v>1734</v>
      </c>
      <c r="D59" s="139">
        <v>10</v>
      </c>
    </row>
    <row r="60" spans="1:4" x14ac:dyDescent="0.25">
      <c r="A60" s="137" t="s">
        <v>1790</v>
      </c>
      <c r="B60" s="138" t="s">
        <v>234</v>
      </c>
      <c r="C60" s="138" t="s">
        <v>1734</v>
      </c>
      <c r="D60" s="139">
        <v>10</v>
      </c>
    </row>
    <row r="61" spans="1:4" x14ac:dyDescent="0.25">
      <c r="A61" s="137" t="s">
        <v>1791</v>
      </c>
      <c r="B61" s="138" t="s">
        <v>234</v>
      </c>
      <c r="C61" s="138" t="s">
        <v>1734</v>
      </c>
      <c r="D61" s="139">
        <v>10</v>
      </c>
    </row>
    <row r="62" spans="1:4" x14ac:dyDescent="0.25">
      <c r="A62" s="137" t="s">
        <v>1792</v>
      </c>
      <c r="B62" s="138" t="s">
        <v>234</v>
      </c>
      <c r="C62" s="138" t="s">
        <v>1734</v>
      </c>
      <c r="D62" s="139">
        <v>30</v>
      </c>
    </row>
    <row r="63" spans="1:4" x14ac:dyDescent="0.25">
      <c r="A63" s="137" t="s">
        <v>1793</v>
      </c>
      <c r="B63" s="138" t="s">
        <v>234</v>
      </c>
      <c r="C63" s="138" t="s">
        <v>1734</v>
      </c>
      <c r="D63" s="139">
        <v>25</v>
      </c>
    </row>
    <row r="64" spans="1:4" x14ac:dyDescent="0.25">
      <c r="A64" s="137" t="s">
        <v>1794</v>
      </c>
      <c r="B64" s="138" t="s">
        <v>234</v>
      </c>
      <c r="C64" s="138" t="s">
        <v>1734</v>
      </c>
      <c r="D64" s="139">
        <v>25</v>
      </c>
    </row>
    <row r="65" spans="1:4" x14ac:dyDescent="0.25">
      <c r="A65" s="137" t="s">
        <v>1795</v>
      </c>
      <c r="B65" s="138" t="s">
        <v>234</v>
      </c>
      <c r="C65" s="138" t="s">
        <v>1734</v>
      </c>
      <c r="D65" s="139">
        <v>2</v>
      </c>
    </row>
    <row r="66" spans="1:4" x14ac:dyDescent="0.25">
      <c r="A66" s="137" t="s">
        <v>1796</v>
      </c>
      <c r="B66" s="138" t="s">
        <v>234</v>
      </c>
      <c r="C66" s="138" t="s">
        <v>1734</v>
      </c>
      <c r="D66" s="139">
        <v>10</v>
      </c>
    </row>
    <row r="67" spans="1:4" x14ac:dyDescent="0.25">
      <c r="A67" s="137" t="s">
        <v>1797</v>
      </c>
      <c r="B67" s="138" t="s">
        <v>234</v>
      </c>
      <c r="C67" s="138" t="s">
        <v>1734</v>
      </c>
      <c r="D67" s="139">
        <v>5</v>
      </c>
    </row>
    <row r="68" spans="1:4" x14ac:dyDescent="0.25">
      <c r="A68" s="137" t="s">
        <v>1798</v>
      </c>
      <c r="B68" s="138" t="s">
        <v>234</v>
      </c>
      <c r="C68" s="138" t="s">
        <v>1734</v>
      </c>
      <c r="D68" s="139">
        <v>20</v>
      </c>
    </row>
    <row r="69" spans="1:4" x14ac:dyDescent="0.25">
      <c r="A69" s="137" t="s">
        <v>1799</v>
      </c>
      <c r="B69" s="138" t="s">
        <v>234</v>
      </c>
      <c r="C69" s="138" t="s">
        <v>1734</v>
      </c>
      <c r="D69" s="139">
        <v>40</v>
      </c>
    </row>
    <row r="70" spans="1:4" x14ac:dyDescent="0.25">
      <c r="A70" s="137" t="s">
        <v>1800</v>
      </c>
      <c r="B70" s="138" t="s">
        <v>234</v>
      </c>
      <c r="C70" s="138" t="s">
        <v>1734</v>
      </c>
      <c r="D70" s="139">
        <v>8</v>
      </c>
    </row>
    <row r="71" spans="1:4" x14ac:dyDescent="0.25">
      <c r="A71" s="137" t="s">
        <v>1801</v>
      </c>
      <c r="B71" s="138" t="s">
        <v>234</v>
      </c>
      <c r="C71" s="138" t="s">
        <v>1734</v>
      </c>
      <c r="D71" s="139">
        <v>1</v>
      </c>
    </row>
    <row r="72" spans="1:4" x14ac:dyDescent="0.25">
      <c r="A72" s="137" t="s">
        <v>1802</v>
      </c>
      <c r="B72" s="138" t="s">
        <v>234</v>
      </c>
      <c r="C72" s="138" t="s">
        <v>1803</v>
      </c>
      <c r="D72" s="139">
        <v>4</v>
      </c>
    </row>
    <row r="73" spans="1:4" x14ac:dyDescent="0.25">
      <c r="A73" s="137" t="s">
        <v>1804</v>
      </c>
      <c r="B73" s="138" t="s">
        <v>234</v>
      </c>
      <c r="C73" s="138" t="s">
        <v>1734</v>
      </c>
      <c r="D73" s="139">
        <v>40</v>
      </c>
    </row>
    <row r="74" spans="1:4" x14ac:dyDescent="0.25">
      <c r="A74" s="137" t="s">
        <v>1805</v>
      </c>
      <c r="B74" s="138" t="s">
        <v>234</v>
      </c>
      <c r="C74" s="138" t="s">
        <v>1734</v>
      </c>
      <c r="D74" s="139">
        <v>20</v>
      </c>
    </row>
    <row r="75" spans="1:4" x14ac:dyDescent="0.25">
      <c r="A75" s="137" t="s">
        <v>1806</v>
      </c>
      <c r="B75" s="138" t="s">
        <v>234</v>
      </c>
      <c r="C75" s="138" t="s">
        <v>1734</v>
      </c>
      <c r="D75" s="139">
        <v>20</v>
      </c>
    </row>
    <row r="76" spans="1:4" x14ac:dyDescent="0.25">
      <c r="A76" s="137" t="s">
        <v>1807</v>
      </c>
      <c r="B76" s="138" t="s">
        <v>234</v>
      </c>
      <c r="C76" s="138" t="s">
        <v>1734</v>
      </c>
      <c r="D76" s="139">
        <v>5</v>
      </c>
    </row>
    <row r="77" spans="1:4" x14ac:dyDescent="0.25">
      <c r="A77" s="137" t="s">
        <v>1808</v>
      </c>
      <c r="B77" s="138" t="s">
        <v>234</v>
      </c>
      <c r="C77" s="138" t="s">
        <v>1734</v>
      </c>
      <c r="D77" s="139">
        <v>20</v>
      </c>
    </row>
    <row r="78" spans="1:4" x14ac:dyDescent="0.25">
      <c r="A78" s="137" t="s">
        <v>1809</v>
      </c>
      <c r="B78" s="138" t="s">
        <v>234</v>
      </c>
      <c r="C78" s="138" t="s">
        <v>1734</v>
      </c>
      <c r="D78" s="139">
        <v>30</v>
      </c>
    </row>
    <row r="79" spans="1:4" x14ac:dyDescent="0.25">
      <c r="A79" s="137" t="s">
        <v>1810</v>
      </c>
      <c r="B79" s="138" t="s">
        <v>234</v>
      </c>
      <c r="C79" s="138" t="s">
        <v>1734</v>
      </c>
      <c r="D79" s="139">
        <v>20</v>
      </c>
    </row>
    <row r="80" spans="1:4" x14ac:dyDescent="0.25">
      <c r="A80" s="137" t="s">
        <v>1811</v>
      </c>
      <c r="B80" s="138" t="s">
        <v>234</v>
      </c>
      <c r="C80" s="138" t="s">
        <v>1734</v>
      </c>
      <c r="D80" s="139">
        <v>30</v>
      </c>
    </row>
    <row r="81" spans="1:4" x14ac:dyDescent="0.25">
      <c r="A81" s="137" t="s">
        <v>1812</v>
      </c>
      <c r="B81" s="138" t="s">
        <v>234</v>
      </c>
      <c r="C81" s="138" t="s">
        <v>1734</v>
      </c>
      <c r="D81" s="139">
        <v>10</v>
      </c>
    </row>
    <row r="82" spans="1:4" x14ac:dyDescent="0.25">
      <c r="A82" s="137" t="s">
        <v>1813</v>
      </c>
      <c r="B82" s="138" t="s">
        <v>234</v>
      </c>
      <c r="C82" s="138" t="s">
        <v>1734</v>
      </c>
      <c r="D82" s="139">
        <v>18</v>
      </c>
    </row>
    <row r="83" spans="1:4" x14ac:dyDescent="0.25">
      <c r="A83" s="137" t="s">
        <v>1814</v>
      </c>
      <c r="B83" s="138" t="s">
        <v>234</v>
      </c>
      <c r="C83" s="138" t="s">
        <v>1734</v>
      </c>
      <c r="D83" s="139">
        <v>3</v>
      </c>
    </row>
    <row r="84" spans="1:4" x14ac:dyDescent="0.25">
      <c r="A84" s="137" t="s">
        <v>1815</v>
      </c>
      <c r="B84" s="138" t="s">
        <v>234</v>
      </c>
      <c r="C84" s="138" t="s">
        <v>1734</v>
      </c>
      <c r="D84" s="139">
        <v>15</v>
      </c>
    </row>
    <row r="85" spans="1:4" x14ac:dyDescent="0.25">
      <c r="A85" s="137" t="s">
        <v>1816</v>
      </c>
      <c r="B85" s="138" t="s">
        <v>234</v>
      </c>
      <c r="C85" s="138" t="s">
        <v>1734</v>
      </c>
      <c r="D85" s="139">
        <v>10</v>
      </c>
    </row>
    <row r="86" spans="1:4" x14ac:dyDescent="0.25">
      <c r="A86" s="137" t="s">
        <v>1817</v>
      </c>
      <c r="B86" s="138" t="s">
        <v>234</v>
      </c>
      <c r="C86" s="138" t="s">
        <v>1734</v>
      </c>
      <c r="D86" s="139">
        <v>30</v>
      </c>
    </row>
    <row r="87" spans="1:4" x14ac:dyDescent="0.25">
      <c r="A87" s="137" t="s">
        <v>1818</v>
      </c>
      <c r="B87" s="138" t="s">
        <v>234</v>
      </c>
      <c r="C87" s="138" t="s">
        <v>1734</v>
      </c>
      <c r="D87" s="139">
        <v>16</v>
      </c>
    </row>
    <row r="88" spans="1:4" x14ac:dyDescent="0.25">
      <c r="A88" s="137" t="s">
        <v>1819</v>
      </c>
      <c r="B88" s="138" t="s">
        <v>234</v>
      </c>
      <c r="C88" s="138" t="s">
        <v>1734</v>
      </c>
      <c r="D88" s="139">
        <v>10</v>
      </c>
    </row>
    <row r="89" spans="1:4" x14ac:dyDescent="0.25">
      <c r="A89" s="137" t="s">
        <v>1820</v>
      </c>
      <c r="B89" s="138" t="s">
        <v>234</v>
      </c>
      <c r="C89" s="138" t="s">
        <v>1734</v>
      </c>
      <c r="D89" s="139">
        <v>10</v>
      </c>
    </row>
    <row r="90" spans="1:4" x14ac:dyDescent="0.25">
      <c r="A90" s="137" t="s">
        <v>1821</v>
      </c>
      <c r="B90" s="138" t="s">
        <v>234</v>
      </c>
      <c r="C90" s="138" t="s">
        <v>1734</v>
      </c>
      <c r="D90" s="139">
        <v>10</v>
      </c>
    </row>
    <row r="91" spans="1:4" x14ac:dyDescent="0.25">
      <c r="A91" s="137" t="s">
        <v>1822</v>
      </c>
      <c r="B91" s="138" t="s">
        <v>234</v>
      </c>
      <c r="C91" s="138" t="s">
        <v>1734</v>
      </c>
      <c r="D91" s="139">
        <v>20</v>
      </c>
    </row>
    <row r="92" spans="1:4" x14ac:dyDescent="0.25">
      <c r="A92" s="137" t="s">
        <v>1823</v>
      </c>
      <c r="B92" s="138" t="s">
        <v>234</v>
      </c>
      <c r="C92" s="138" t="s">
        <v>1734</v>
      </c>
      <c r="D92" s="139">
        <v>10</v>
      </c>
    </row>
    <row r="93" spans="1:4" x14ac:dyDescent="0.25">
      <c r="A93" s="137" t="s">
        <v>1824</v>
      </c>
      <c r="B93" s="138" t="s">
        <v>234</v>
      </c>
      <c r="C93" s="138" t="s">
        <v>1734</v>
      </c>
      <c r="D93" s="139">
        <v>30</v>
      </c>
    </row>
    <row r="94" spans="1:4" x14ac:dyDescent="0.25">
      <c r="A94" s="137" t="s">
        <v>1825</v>
      </c>
      <c r="B94" s="138" t="s">
        <v>234</v>
      </c>
      <c r="C94" s="138" t="s">
        <v>1734</v>
      </c>
      <c r="D94" s="139">
        <v>20</v>
      </c>
    </row>
    <row r="95" spans="1:4" x14ac:dyDescent="0.25">
      <c r="A95" s="137" t="s">
        <v>1826</v>
      </c>
      <c r="B95" s="138" t="s">
        <v>234</v>
      </c>
      <c r="C95" s="138" t="s">
        <v>1734</v>
      </c>
      <c r="D95" s="139">
        <v>5</v>
      </c>
    </row>
    <row r="96" spans="1:4" x14ac:dyDescent="0.25">
      <c r="A96" s="137" t="s">
        <v>1827</v>
      </c>
      <c r="B96" s="138" t="s">
        <v>234</v>
      </c>
      <c r="C96" s="138" t="s">
        <v>1734</v>
      </c>
      <c r="D96" s="139">
        <v>30</v>
      </c>
    </row>
    <row r="97" spans="1:4" x14ac:dyDescent="0.25">
      <c r="A97" s="137" t="s">
        <v>1828</v>
      </c>
      <c r="B97" s="138" t="s">
        <v>234</v>
      </c>
      <c r="C97" s="138" t="s">
        <v>1734</v>
      </c>
      <c r="D97" s="139">
        <v>30</v>
      </c>
    </row>
    <row r="98" spans="1:4" x14ac:dyDescent="0.25">
      <c r="A98" s="137" t="s">
        <v>1829</v>
      </c>
      <c r="B98" s="138" t="s">
        <v>234</v>
      </c>
      <c r="C98" s="138" t="s">
        <v>1734</v>
      </c>
      <c r="D98" s="139">
        <v>20</v>
      </c>
    </row>
    <row r="99" spans="1:4" x14ac:dyDescent="0.25">
      <c r="A99" s="137" t="s">
        <v>1830</v>
      </c>
      <c r="B99" s="138" t="s">
        <v>234</v>
      </c>
      <c r="C99" s="138" t="s">
        <v>1734</v>
      </c>
      <c r="D99" s="139">
        <v>10</v>
      </c>
    </row>
    <row r="100" spans="1:4" x14ac:dyDescent="0.25">
      <c r="A100" s="137" t="s">
        <v>1831</v>
      </c>
      <c r="B100" s="138" t="s">
        <v>234</v>
      </c>
      <c r="C100" s="138" t="s">
        <v>1734</v>
      </c>
      <c r="D100" s="139">
        <v>8</v>
      </c>
    </row>
    <row r="101" spans="1:4" x14ac:dyDescent="0.25">
      <c r="A101" s="137" t="s">
        <v>1832</v>
      </c>
      <c r="B101" s="138" t="s">
        <v>234</v>
      </c>
      <c r="C101" s="138" t="s">
        <v>1734</v>
      </c>
      <c r="D101" s="139">
        <v>30</v>
      </c>
    </row>
    <row r="102" spans="1:4" x14ac:dyDescent="0.25">
      <c r="A102" s="137" t="s">
        <v>1833</v>
      </c>
      <c r="B102" s="138" t="s">
        <v>234</v>
      </c>
      <c r="C102" s="138" t="s">
        <v>1734</v>
      </c>
      <c r="D102" s="139">
        <v>10</v>
      </c>
    </row>
    <row r="103" spans="1:4" x14ac:dyDescent="0.25">
      <c r="A103" s="137" t="s">
        <v>1834</v>
      </c>
      <c r="B103" s="138" t="s">
        <v>234</v>
      </c>
      <c r="C103" s="138" t="s">
        <v>1734</v>
      </c>
      <c r="D103" s="139">
        <v>5</v>
      </c>
    </row>
    <row r="104" spans="1:4" x14ac:dyDescent="0.25">
      <c r="A104" s="137" t="s">
        <v>1835</v>
      </c>
      <c r="B104" s="138" t="s">
        <v>234</v>
      </c>
      <c r="C104" s="138" t="s">
        <v>1734</v>
      </c>
      <c r="D104" s="139">
        <v>10</v>
      </c>
    </row>
    <row r="105" spans="1:4" x14ac:dyDescent="0.25">
      <c r="A105" s="137" t="s">
        <v>1836</v>
      </c>
      <c r="B105" s="138" t="s">
        <v>234</v>
      </c>
      <c r="C105" s="138" t="s">
        <v>1734</v>
      </c>
      <c r="D105" s="139">
        <v>5</v>
      </c>
    </row>
    <row r="106" spans="1:4" x14ac:dyDescent="0.25">
      <c r="A106" s="137" t="s">
        <v>1837</v>
      </c>
      <c r="B106" s="138" t="s">
        <v>234</v>
      </c>
      <c r="C106" s="138" t="s">
        <v>1734</v>
      </c>
      <c r="D106" s="139">
        <v>20</v>
      </c>
    </row>
    <row r="107" spans="1:4" x14ac:dyDescent="0.25">
      <c r="A107" s="137" t="s">
        <v>1838</v>
      </c>
      <c r="B107" s="138" t="s">
        <v>234</v>
      </c>
      <c r="C107" s="138" t="s">
        <v>1734</v>
      </c>
      <c r="D107" s="139">
        <v>10</v>
      </c>
    </row>
    <row r="108" spans="1:4" x14ac:dyDescent="0.25">
      <c r="A108" s="137" t="s">
        <v>1839</v>
      </c>
      <c r="B108" s="138" t="s">
        <v>234</v>
      </c>
      <c r="C108" s="138" t="s">
        <v>1734</v>
      </c>
      <c r="D108" s="139">
        <v>6</v>
      </c>
    </row>
    <row r="109" spans="1:4" x14ac:dyDescent="0.25">
      <c r="A109" s="137" t="s">
        <v>1840</v>
      </c>
      <c r="B109" s="138" t="s">
        <v>234</v>
      </c>
      <c r="C109" s="138" t="s">
        <v>1734</v>
      </c>
      <c r="D109" s="139">
        <v>10</v>
      </c>
    </row>
    <row r="110" spans="1:4" x14ac:dyDescent="0.25">
      <c r="A110" s="137" t="s">
        <v>1841</v>
      </c>
      <c r="B110" s="138" t="s">
        <v>234</v>
      </c>
      <c r="C110" s="145" t="s">
        <v>1734</v>
      </c>
      <c r="D110" s="139">
        <v>15</v>
      </c>
    </row>
    <row r="111" spans="1:4" x14ac:dyDescent="0.25">
      <c r="A111" s="137" t="s">
        <v>1842</v>
      </c>
      <c r="B111" s="138" t="s">
        <v>234</v>
      </c>
      <c r="C111" s="145" t="s">
        <v>1734</v>
      </c>
      <c r="D111" s="139">
        <v>5</v>
      </c>
    </row>
    <row r="112" spans="1:4" x14ac:dyDescent="0.25">
      <c r="A112" s="137" t="s">
        <v>1843</v>
      </c>
      <c r="B112" s="138" t="s">
        <v>234</v>
      </c>
      <c r="C112" s="145" t="s">
        <v>1734</v>
      </c>
      <c r="D112" s="139">
        <v>15</v>
      </c>
    </row>
    <row r="113" spans="1:4" x14ac:dyDescent="0.25">
      <c r="A113" s="137" t="s">
        <v>1844</v>
      </c>
      <c r="B113" s="138" t="s">
        <v>234</v>
      </c>
      <c r="C113" s="145" t="s">
        <v>1734</v>
      </c>
      <c r="D113" s="139">
        <v>10</v>
      </c>
    </row>
    <row r="114" spans="1:4" x14ac:dyDescent="0.25">
      <c r="A114" s="137" t="s">
        <v>1845</v>
      </c>
      <c r="B114" s="138" t="s">
        <v>234</v>
      </c>
      <c r="C114" s="145" t="s">
        <v>1734</v>
      </c>
      <c r="D114" s="139">
        <v>10</v>
      </c>
    </row>
    <row r="115" spans="1:4" x14ac:dyDescent="0.25">
      <c r="A115" s="137" t="s">
        <v>1846</v>
      </c>
      <c r="B115" s="138" t="s">
        <v>234</v>
      </c>
      <c r="C115" s="145" t="s">
        <v>1734</v>
      </c>
      <c r="D115" s="139">
        <v>10</v>
      </c>
    </row>
    <row r="116" spans="1:4" x14ac:dyDescent="0.25">
      <c r="A116" s="137" t="s">
        <v>1847</v>
      </c>
      <c r="B116" s="138" t="s">
        <v>234</v>
      </c>
      <c r="C116" s="145" t="s">
        <v>1734</v>
      </c>
      <c r="D116" s="139">
        <v>10</v>
      </c>
    </row>
    <row r="117" spans="1:4" x14ac:dyDescent="0.25">
      <c r="A117" s="137" t="s">
        <v>1848</v>
      </c>
      <c r="B117" s="138" t="s">
        <v>234</v>
      </c>
      <c r="C117" s="145" t="s">
        <v>1734</v>
      </c>
      <c r="D117" s="139">
        <v>10</v>
      </c>
    </row>
    <row r="118" spans="1:4" x14ac:dyDescent="0.25">
      <c r="A118" s="137" t="s">
        <v>1849</v>
      </c>
      <c r="B118" s="138" t="s">
        <v>234</v>
      </c>
      <c r="C118" s="145" t="s">
        <v>1734</v>
      </c>
      <c r="D118" s="139">
        <v>10</v>
      </c>
    </row>
    <row r="119" spans="1:4" x14ac:dyDescent="0.25">
      <c r="A119" s="137" t="s">
        <v>1850</v>
      </c>
      <c r="B119" s="138" t="s">
        <v>234</v>
      </c>
      <c r="C119" s="145" t="s">
        <v>1734</v>
      </c>
      <c r="D119" s="139">
        <v>4</v>
      </c>
    </row>
    <row r="120" spans="1:4" x14ac:dyDescent="0.25">
      <c r="A120" s="137" t="s">
        <v>1851</v>
      </c>
      <c r="B120" s="138" t="s">
        <v>234</v>
      </c>
      <c r="C120" s="145" t="s">
        <v>1734</v>
      </c>
      <c r="D120" s="139">
        <v>20</v>
      </c>
    </row>
    <row r="121" spans="1:4" x14ac:dyDescent="0.25">
      <c r="A121" s="137" t="s">
        <v>1852</v>
      </c>
      <c r="B121" s="138" t="s">
        <v>234</v>
      </c>
      <c r="C121" s="138" t="s">
        <v>1743</v>
      </c>
      <c r="D121" s="139">
        <v>2</v>
      </c>
    </row>
    <row r="122" spans="1:4" x14ac:dyDescent="0.25">
      <c r="A122" s="137" t="s">
        <v>1853</v>
      </c>
      <c r="B122" s="138" t="s">
        <v>234</v>
      </c>
      <c r="C122" s="138" t="s">
        <v>1734</v>
      </c>
      <c r="D122" s="139">
        <v>10</v>
      </c>
    </row>
    <row r="123" spans="1:4" x14ac:dyDescent="0.25">
      <c r="A123" s="137" t="s">
        <v>1854</v>
      </c>
      <c r="B123" s="138" t="s">
        <v>234</v>
      </c>
      <c r="C123" s="138" t="s">
        <v>1743</v>
      </c>
      <c r="D123" s="139">
        <v>2</v>
      </c>
    </row>
    <row r="124" spans="1:4" x14ac:dyDescent="0.25">
      <c r="A124" s="137" t="s">
        <v>1855</v>
      </c>
      <c r="B124" s="138" t="s">
        <v>234</v>
      </c>
      <c r="C124" s="138" t="s">
        <v>1743</v>
      </c>
      <c r="D124" s="139">
        <v>1</v>
      </c>
    </row>
    <row r="125" spans="1:4" x14ac:dyDescent="0.25">
      <c r="A125" s="137" t="s">
        <v>1856</v>
      </c>
      <c r="B125" s="138" t="s">
        <v>234</v>
      </c>
      <c r="C125" s="138" t="s">
        <v>1734</v>
      </c>
      <c r="D125" s="139">
        <v>1</v>
      </c>
    </row>
    <row r="126" spans="1:4" x14ac:dyDescent="0.25">
      <c r="A126" s="137" t="s">
        <v>1857</v>
      </c>
      <c r="B126" s="138" t="s">
        <v>234</v>
      </c>
      <c r="C126" s="138" t="s">
        <v>1734</v>
      </c>
      <c r="D126" s="139">
        <v>4</v>
      </c>
    </row>
    <row r="127" spans="1:4" x14ac:dyDescent="0.25">
      <c r="A127" s="137" t="s">
        <v>1858</v>
      </c>
      <c r="B127" s="138" t="s">
        <v>234</v>
      </c>
      <c r="C127" s="138" t="s">
        <v>1734</v>
      </c>
      <c r="D127" s="139">
        <v>10</v>
      </c>
    </row>
    <row r="128" spans="1:4" x14ac:dyDescent="0.25">
      <c r="A128" s="137" t="s">
        <v>1859</v>
      </c>
      <c r="B128" s="138" t="s">
        <v>234</v>
      </c>
      <c r="C128" s="138" t="s">
        <v>1734</v>
      </c>
      <c r="D128" s="139">
        <v>5</v>
      </c>
    </row>
    <row r="129" spans="1:4" x14ac:dyDescent="0.25">
      <c r="A129" s="137" t="s">
        <v>1860</v>
      </c>
      <c r="B129" s="138" t="s">
        <v>234</v>
      </c>
      <c r="C129" s="138" t="s">
        <v>1734</v>
      </c>
      <c r="D129" s="139">
        <v>30</v>
      </c>
    </row>
    <row r="130" spans="1:4" x14ac:dyDescent="0.25">
      <c r="A130" s="137" t="s">
        <v>1861</v>
      </c>
      <c r="B130" s="138" t="s">
        <v>234</v>
      </c>
      <c r="C130" s="138" t="s">
        <v>1734</v>
      </c>
      <c r="D130" s="139">
        <v>30</v>
      </c>
    </row>
    <row r="131" spans="1:4" x14ac:dyDescent="0.25">
      <c r="A131" s="137" t="s">
        <v>1862</v>
      </c>
      <c r="B131" s="138" t="s">
        <v>234</v>
      </c>
      <c r="C131" s="138" t="s">
        <v>1734</v>
      </c>
      <c r="D131" s="139">
        <v>15</v>
      </c>
    </row>
    <row r="132" spans="1:4" x14ac:dyDescent="0.25">
      <c r="A132" s="137" t="s">
        <v>1863</v>
      </c>
      <c r="B132" s="138" t="s">
        <v>234</v>
      </c>
      <c r="C132" s="138" t="s">
        <v>1734</v>
      </c>
      <c r="D132" s="139">
        <v>40</v>
      </c>
    </row>
    <row r="133" spans="1:4" x14ac:dyDescent="0.25">
      <c r="A133" s="137" t="s">
        <v>1864</v>
      </c>
      <c r="B133" s="138" t="s">
        <v>234</v>
      </c>
      <c r="C133" s="138" t="s">
        <v>1734</v>
      </c>
      <c r="D133" s="139">
        <v>5</v>
      </c>
    </row>
    <row r="134" spans="1:4" x14ac:dyDescent="0.25">
      <c r="A134" s="137"/>
      <c r="B134" s="138" t="s">
        <v>234</v>
      </c>
      <c r="C134" s="138"/>
      <c r="D134" s="139"/>
    </row>
    <row r="135" spans="1:4" x14ac:dyDescent="0.25">
      <c r="A135" s="137"/>
      <c r="B135" s="138" t="s">
        <v>234</v>
      </c>
      <c r="C135" s="138"/>
      <c r="D135" s="139"/>
    </row>
    <row r="136" spans="1:4" x14ac:dyDescent="0.25">
      <c r="A136" s="137"/>
      <c r="B136" s="138" t="s">
        <v>234</v>
      </c>
      <c r="C136" s="138"/>
      <c r="D136" s="139"/>
    </row>
    <row r="137" spans="1:4" x14ac:dyDescent="0.25">
      <c r="A137" s="137"/>
      <c r="B137" s="138" t="s">
        <v>234</v>
      </c>
      <c r="C137" s="138"/>
      <c r="D137" s="139"/>
    </row>
    <row r="138" spans="1:4" x14ac:dyDescent="0.25">
      <c r="A138" s="137"/>
      <c r="B138" s="138" t="s">
        <v>234</v>
      </c>
      <c r="C138" s="138"/>
      <c r="D138" s="139"/>
    </row>
    <row r="139" spans="1:4" x14ac:dyDescent="0.25">
      <c r="A139" s="137"/>
      <c r="B139" s="138" t="s">
        <v>234</v>
      </c>
      <c r="C139" s="138"/>
      <c r="D139" s="139"/>
    </row>
    <row r="140" spans="1:4" x14ac:dyDescent="0.25">
      <c r="A140" s="137"/>
      <c r="B140" s="138" t="s">
        <v>234</v>
      </c>
      <c r="C140" s="138"/>
      <c r="D140" s="139"/>
    </row>
    <row r="141" spans="1:4" x14ac:dyDescent="0.25">
      <c r="A141" s="137"/>
      <c r="B141" s="138" t="s">
        <v>234</v>
      </c>
      <c r="C141" s="138"/>
      <c r="D141" s="139"/>
    </row>
    <row r="142" spans="1:4" x14ac:dyDescent="0.25">
      <c r="A142" s="137"/>
      <c r="B142" s="138" t="s">
        <v>234</v>
      </c>
      <c r="C142" s="138"/>
      <c r="D142" s="139"/>
    </row>
    <row r="143" spans="1:4" x14ac:dyDescent="0.25">
      <c r="A143" s="137"/>
      <c r="B143" s="138" t="s">
        <v>234</v>
      </c>
      <c r="C143" s="138"/>
      <c r="D143" s="139"/>
    </row>
    <row r="144" spans="1:4" x14ac:dyDescent="0.25">
      <c r="A144" s="137"/>
      <c r="B144" s="138" t="s">
        <v>234</v>
      </c>
      <c r="C144" s="138"/>
      <c r="D144" s="139"/>
    </row>
    <row r="145" spans="1:4" x14ac:dyDescent="0.25">
      <c r="A145" s="137"/>
      <c r="B145" s="138" t="s">
        <v>234</v>
      </c>
      <c r="C145" s="138"/>
      <c r="D145" s="139"/>
    </row>
    <row r="146" spans="1:4" x14ac:dyDescent="0.25">
      <c r="A146" s="137"/>
      <c r="B146" s="138" t="s">
        <v>234</v>
      </c>
      <c r="C146" s="138"/>
      <c r="D146" s="139"/>
    </row>
    <row r="147" spans="1:4" x14ac:dyDescent="0.25">
      <c r="A147" s="137"/>
      <c r="B147" s="138" t="s">
        <v>234</v>
      </c>
      <c r="C147" s="138"/>
      <c r="D147" s="139"/>
    </row>
    <row r="148" spans="1:4" x14ac:dyDescent="0.25">
      <c r="A148" s="137"/>
      <c r="B148" s="138" t="s">
        <v>234</v>
      </c>
      <c r="C148" s="138"/>
      <c r="D148" s="139"/>
    </row>
    <row r="149" spans="1:4" x14ac:dyDescent="0.25">
      <c r="A149" s="137"/>
      <c r="B149" s="138" t="s">
        <v>234</v>
      </c>
      <c r="C149" s="138"/>
      <c r="D149" s="139"/>
    </row>
    <row r="150" spans="1:4" x14ac:dyDescent="0.25">
      <c r="A150" s="137"/>
      <c r="B150" s="138" t="s">
        <v>234</v>
      </c>
      <c r="C150" s="138"/>
      <c r="D150" s="139"/>
    </row>
    <row r="151" spans="1:4" x14ac:dyDescent="0.25">
      <c r="A151" s="137"/>
      <c r="B151" s="138" t="s">
        <v>234</v>
      </c>
      <c r="C151" s="138"/>
      <c r="D151" s="139"/>
    </row>
    <row r="152" spans="1:4" x14ac:dyDescent="0.25">
      <c r="A152" s="137"/>
      <c r="B152" s="138" t="s">
        <v>234</v>
      </c>
      <c r="C152" s="138"/>
      <c r="D152" s="139"/>
    </row>
    <row r="153" spans="1:4" ht="12" customHeight="1" x14ac:dyDescent="0.25">
      <c r="A153" s="137"/>
      <c r="B153" s="138" t="s">
        <v>234</v>
      </c>
      <c r="C153" s="138"/>
      <c r="D153" s="139"/>
    </row>
    <row r="154" spans="1:4" x14ac:dyDescent="0.25">
      <c r="A154" s="137"/>
      <c r="B154" s="138" t="s">
        <v>234</v>
      </c>
      <c r="C154" s="138"/>
      <c r="D154" s="139"/>
    </row>
    <row r="155" spans="1:4" x14ac:dyDescent="0.25">
      <c r="A155" s="137"/>
      <c r="B155" s="138" t="s">
        <v>234</v>
      </c>
      <c r="C155" s="138"/>
      <c r="D155" s="139"/>
    </row>
    <row r="156" spans="1:4" x14ac:dyDescent="0.25">
      <c r="A156" s="137"/>
      <c r="B156" s="138" t="s">
        <v>234</v>
      </c>
      <c r="C156" s="138"/>
      <c r="D156" s="139"/>
    </row>
    <row r="157" spans="1:4" x14ac:dyDescent="0.25">
      <c r="A157" s="137"/>
      <c r="B157" s="138" t="s">
        <v>234</v>
      </c>
      <c r="C157" s="138"/>
      <c r="D157" s="139"/>
    </row>
    <row r="158" spans="1:4" x14ac:dyDescent="0.25">
      <c r="A158" s="137"/>
      <c r="B158" s="138" t="s">
        <v>234</v>
      </c>
      <c r="C158" s="138"/>
      <c r="D158" s="139"/>
    </row>
    <row r="159" spans="1:4" x14ac:dyDescent="0.25">
      <c r="A159" s="137"/>
      <c r="B159" s="138" t="s">
        <v>234</v>
      </c>
      <c r="C159" s="138"/>
      <c r="D159" s="139"/>
    </row>
    <row r="1842" spans="19:19" ht="15.75" thickBot="1" x14ac:dyDescent="0.3"/>
    <row r="1843" spans="19:19" x14ac:dyDescent="0.25">
      <c r="S1843" s="146"/>
    </row>
    <row r="1844" spans="19:19" ht="15.75" thickBot="1" x14ac:dyDescent="0.3">
      <c r="S1844" s="147"/>
    </row>
  </sheetData>
  <dataValidations count="1">
    <dataValidation type="date" allowBlank="1" showInputMessage="1" showErrorMessage="1" sqref="F1:F1048576">
      <formula1>44927</formula1>
      <formula2>45291</formula2>
    </dataValidation>
  </dataValidations>
  <pageMargins left="0.7" right="0.7" top="0.75" bottom="0.75" header="0.3" footer="0.3"/>
  <pageSetup scale="65" orientation="portrait" r:id="rId1"/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40"/>
  <sheetViews>
    <sheetView zoomScale="70" zoomScaleNormal="70" workbookViewId="0">
      <selection activeCell="A6" sqref="A6"/>
    </sheetView>
  </sheetViews>
  <sheetFormatPr baseColWidth="10" defaultRowHeight="15" x14ac:dyDescent="0.25"/>
  <cols>
    <col min="2" max="2" width="34" customWidth="1"/>
    <col min="4" max="4" width="50.42578125" customWidth="1"/>
    <col min="5" max="5" width="54.5703125" customWidth="1"/>
    <col min="6" max="6" width="37" customWidth="1"/>
    <col min="8" max="8" width="13.5703125" bestFit="1" customWidth="1"/>
  </cols>
  <sheetData>
    <row r="2" spans="2:6" s="149" customFormat="1" ht="14.25" x14ac:dyDescent="0.2">
      <c r="B2" s="148" t="s">
        <v>9</v>
      </c>
      <c r="C2" s="148" t="s">
        <v>1865</v>
      </c>
      <c r="D2" s="148" t="s">
        <v>1866</v>
      </c>
      <c r="E2" s="148" t="s">
        <v>12</v>
      </c>
      <c r="F2" s="148" t="s">
        <v>1867</v>
      </c>
    </row>
    <row r="3" spans="2:6" x14ac:dyDescent="0.25">
      <c r="B3" s="150" t="s">
        <v>1868</v>
      </c>
      <c r="C3" s="151">
        <v>206263</v>
      </c>
      <c r="D3" s="150" t="s">
        <v>1869</v>
      </c>
      <c r="E3" s="150" t="s">
        <v>1398</v>
      </c>
      <c r="F3" s="150"/>
    </row>
    <row r="4" spans="2:6" x14ac:dyDescent="0.25">
      <c r="B4" s="150" t="s">
        <v>1870</v>
      </c>
      <c r="C4" s="151">
        <v>62018</v>
      </c>
      <c r="D4" s="150" t="s">
        <v>1871</v>
      </c>
      <c r="E4" s="150" t="s">
        <v>1872</v>
      </c>
      <c r="F4" s="150"/>
    </row>
    <row r="5" spans="2:6" x14ac:dyDescent="0.25">
      <c r="B5" s="150" t="s">
        <v>1870</v>
      </c>
      <c r="C5" s="151">
        <v>62019</v>
      </c>
      <c r="D5" s="150" t="s">
        <v>1873</v>
      </c>
      <c r="E5" s="150" t="s">
        <v>1872</v>
      </c>
      <c r="F5" s="150"/>
    </row>
    <row r="6" spans="2:6" x14ac:dyDescent="0.25">
      <c r="B6" s="150" t="s">
        <v>530</v>
      </c>
      <c r="C6" s="151">
        <v>3961</v>
      </c>
      <c r="D6" s="150" t="s">
        <v>1027</v>
      </c>
      <c r="E6" s="150" t="s">
        <v>724</v>
      </c>
      <c r="F6" s="150"/>
    </row>
    <row r="7" spans="2:6" x14ac:dyDescent="0.25">
      <c r="B7" s="150" t="s">
        <v>530</v>
      </c>
      <c r="C7" s="151">
        <v>3962</v>
      </c>
      <c r="D7" s="150" t="s">
        <v>1874</v>
      </c>
      <c r="E7" s="150" t="s">
        <v>724</v>
      </c>
      <c r="F7" s="150"/>
    </row>
    <row r="8" spans="2:6" x14ac:dyDescent="0.25">
      <c r="B8" s="150" t="s">
        <v>530</v>
      </c>
      <c r="C8" s="151">
        <v>3963</v>
      </c>
      <c r="D8" s="150" t="s">
        <v>1030</v>
      </c>
      <c r="E8" s="150" t="s">
        <v>724</v>
      </c>
      <c r="F8" s="150"/>
    </row>
    <row r="9" spans="2:6" x14ac:dyDescent="0.25">
      <c r="B9" s="150" t="s">
        <v>530</v>
      </c>
      <c r="C9" s="151">
        <v>3966</v>
      </c>
      <c r="D9" s="150" t="s">
        <v>1033</v>
      </c>
      <c r="E9" s="150" t="s">
        <v>724</v>
      </c>
      <c r="F9" s="150"/>
    </row>
    <row r="10" spans="2:6" x14ac:dyDescent="0.25">
      <c r="B10" s="150" t="s">
        <v>530</v>
      </c>
      <c r="C10" s="151">
        <v>3971</v>
      </c>
      <c r="D10" s="150" t="s">
        <v>1375</v>
      </c>
      <c r="E10" s="150" t="s">
        <v>724</v>
      </c>
      <c r="F10" s="150"/>
    </row>
    <row r="11" spans="2:6" x14ac:dyDescent="0.25">
      <c r="B11" s="150" t="s">
        <v>530</v>
      </c>
      <c r="C11" s="151">
        <v>3973</v>
      </c>
      <c r="D11" s="150" t="s">
        <v>1875</v>
      </c>
      <c r="E11" s="150" t="s">
        <v>724</v>
      </c>
      <c r="F11" s="150"/>
    </row>
    <row r="12" spans="2:6" x14ac:dyDescent="0.25">
      <c r="B12" s="150" t="s">
        <v>1178</v>
      </c>
      <c r="C12" s="151">
        <v>3974</v>
      </c>
      <c r="D12" s="150" t="s">
        <v>1039</v>
      </c>
      <c r="E12" s="150" t="s">
        <v>724</v>
      </c>
      <c r="F12" s="150"/>
    </row>
    <row r="13" spans="2:6" x14ac:dyDescent="0.25">
      <c r="B13" s="150" t="s">
        <v>1178</v>
      </c>
      <c r="C13" s="151">
        <v>3975</v>
      </c>
      <c r="D13" s="150" t="s">
        <v>1042</v>
      </c>
      <c r="E13" s="150" t="s">
        <v>724</v>
      </c>
      <c r="F13" s="150"/>
    </row>
    <row r="14" spans="2:6" x14ac:dyDescent="0.25">
      <c r="B14" s="150" t="s">
        <v>1178</v>
      </c>
      <c r="C14" s="151">
        <v>3976</v>
      </c>
      <c r="D14" s="150" t="s">
        <v>1045</v>
      </c>
      <c r="E14" s="150" t="s">
        <v>724</v>
      </c>
      <c r="F14" s="150"/>
    </row>
    <row r="15" spans="2:6" x14ac:dyDescent="0.25">
      <c r="B15" s="150" t="s">
        <v>1178</v>
      </c>
      <c r="C15" s="151">
        <v>3977</v>
      </c>
      <c r="D15" s="150" t="s">
        <v>1876</v>
      </c>
      <c r="E15" s="150" t="s">
        <v>724</v>
      </c>
      <c r="F15" s="150"/>
    </row>
    <row r="16" spans="2:6" x14ac:dyDescent="0.25">
      <c r="B16" s="150" t="s">
        <v>530</v>
      </c>
      <c r="C16" s="151">
        <v>3964</v>
      </c>
      <c r="D16" s="150" t="s">
        <v>1877</v>
      </c>
      <c r="E16" s="150" t="s">
        <v>724</v>
      </c>
      <c r="F16" s="150"/>
    </row>
    <row r="17" spans="2:6" x14ac:dyDescent="0.25">
      <c r="B17" s="150" t="s">
        <v>530</v>
      </c>
      <c r="C17" s="151">
        <v>3965</v>
      </c>
      <c r="D17" s="150" t="s">
        <v>1048</v>
      </c>
      <c r="E17" s="150" t="s">
        <v>724</v>
      </c>
      <c r="F17" s="150"/>
    </row>
    <row r="18" spans="2:6" x14ac:dyDescent="0.25">
      <c r="B18" s="150" t="s">
        <v>530</v>
      </c>
      <c r="C18" s="151">
        <v>3967</v>
      </c>
      <c r="D18" s="150" t="s">
        <v>1051</v>
      </c>
      <c r="E18" s="150" t="s">
        <v>724</v>
      </c>
      <c r="F18" s="150"/>
    </row>
    <row r="19" spans="2:6" x14ac:dyDescent="0.25">
      <c r="B19" s="150" t="s">
        <v>530</v>
      </c>
      <c r="C19" s="151">
        <v>3968</v>
      </c>
      <c r="D19" s="150" t="s">
        <v>1878</v>
      </c>
      <c r="E19" s="150" t="s">
        <v>724</v>
      </c>
      <c r="F19" s="150"/>
    </row>
    <row r="20" spans="2:6" x14ac:dyDescent="0.25">
      <c r="B20" s="150" t="s">
        <v>530</v>
      </c>
      <c r="C20" s="151">
        <v>3969</v>
      </c>
      <c r="D20" s="150" t="s">
        <v>714</v>
      </c>
      <c r="E20" s="150" t="s">
        <v>724</v>
      </c>
      <c r="F20" s="150"/>
    </row>
    <row r="21" spans="2:6" x14ac:dyDescent="0.25">
      <c r="B21" s="150" t="s">
        <v>1178</v>
      </c>
      <c r="C21" s="151">
        <v>3970</v>
      </c>
      <c r="D21" s="150" t="s">
        <v>1057</v>
      </c>
      <c r="E21" s="150" t="s">
        <v>724</v>
      </c>
      <c r="F21" s="150"/>
    </row>
    <row r="22" spans="2:6" x14ac:dyDescent="0.25">
      <c r="B22" s="150" t="s">
        <v>1879</v>
      </c>
      <c r="C22" s="151">
        <v>62016</v>
      </c>
      <c r="D22" s="150" t="s">
        <v>1880</v>
      </c>
      <c r="E22" s="150" t="s">
        <v>1881</v>
      </c>
      <c r="F22" s="150"/>
    </row>
    <row r="23" spans="2:6" x14ac:dyDescent="0.25">
      <c r="B23" s="150" t="s">
        <v>1879</v>
      </c>
      <c r="C23" s="151">
        <v>62017</v>
      </c>
      <c r="D23" s="150" t="s">
        <v>1882</v>
      </c>
      <c r="E23" s="150" t="s">
        <v>1881</v>
      </c>
      <c r="F23" s="150"/>
    </row>
    <row r="24" spans="2:6" x14ac:dyDescent="0.25">
      <c r="B24" s="150" t="s">
        <v>1400</v>
      </c>
      <c r="C24" s="151">
        <v>206270</v>
      </c>
      <c r="D24" s="150" t="s">
        <v>1394</v>
      </c>
      <c r="E24" s="150" t="s">
        <v>1881</v>
      </c>
      <c r="F24" s="150"/>
    </row>
    <row r="25" spans="2:6" x14ac:dyDescent="0.25">
      <c r="B25" s="150" t="s">
        <v>1883</v>
      </c>
      <c r="C25" s="151">
        <v>206272</v>
      </c>
      <c r="D25" s="150" t="s">
        <v>254</v>
      </c>
      <c r="E25" s="150" t="s">
        <v>1884</v>
      </c>
      <c r="F25" s="150"/>
    </row>
    <row r="26" spans="2:6" x14ac:dyDescent="0.25">
      <c r="B26" s="150" t="s">
        <v>1885</v>
      </c>
      <c r="C26" s="151">
        <v>62020</v>
      </c>
      <c r="D26" s="150" t="s">
        <v>1886</v>
      </c>
      <c r="E26" s="150" t="s">
        <v>1887</v>
      </c>
      <c r="F26" s="150"/>
    </row>
    <row r="27" spans="2:6" x14ac:dyDescent="0.25">
      <c r="B27" s="150" t="s">
        <v>1888</v>
      </c>
      <c r="C27" s="151">
        <v>80184</v>
      </c>
      <c r="D27" s="150" t="s">
        <v>1889</v>
      </c>
      <c r="E27" s="150" t="s">
        <v>1890</v>
      </c>
      <c r="F27" s="150"/>
    </row>
    <row r="28" spans="2:6" x14ac:dyDescent="0.25">
      <c r="B28" s="150" t="s">
        <v>1883</v>
      </c>
      <c r="C28" s="151">
        <v>206265</v>
      </c>
      <c r="D28" s="150" t="s">
        <v>258</v>
      </c>
      <c r="E28" s="150" t="s">
        <v>1884</v>
      </c>
      <c r="F28" s="150"/>
    </row>
    <row r="29" spans="2:6" x14ac:dyDescent="0.25">
      <c r="B29" s="150" t="s">
        <v>1883</v>
      </c>
      <c r="C29" s="151">
        <v>206266</v>
      </c>
      <c r="D29" s="150" t="s">
        <v>261</v>
      </c>
      <c r="E29" s="150" t="s">
        <v>1884</v>
      </c>
      <c r="F29" s="150"/>
    </row>
    <row r="30" spans="2:6" x14ac:dyDescent="0.25">
      <c r="B30" s="150" t="s">
        <v>1883</v>
      </c>
      <c r="C30" s="151">
        <v>206267</v>
      </c>
      <c r="D30" s="150" t="s">
        <v>264</v>
      </c>
      <c r="E30" s="150" t="s">
        <v>1884</v>
      </c>
      <c r="F30" s="150"/>
    </row>
    <row r="31" spans="2:6" x14ac:dyDescent="0.25">
      <c r="B31" s="150" t="s">
        <v>1883</v>
      </c>
      <c r="C31" s="151">
        <v>206268</v>
      </c>
      <c r="D31" s="150" t="s">
        <v>267</v>
      </c>
      <c r="E31" s="150" t="s">
        <v>1884</v>
      </c>
      <c r="F31" s="150"/>
    </row>
    <row r="32" spans="2:6" x14ac:dyDescent="0.25">
      <c r="B32" s="150" t="s">
        <v>1178</v>
      </c>
      <c r="C32" s="151">
        <v>3978</v>
      </c>
      <c r="D32" s="150" t="s">
        <v>1060</v>
      </c>
      <c r="E32" s="150" t="s">
        <v>724</v>
      </c>
      <c r="F32" s="150"/>
    </row>
    <row r="33" spans="2:6" x14ac:dyDescent="0.25">
      <c r="B33" s="150" t="s">
        <v>1178</v>
      </c>
      <c r="C33" s="151">
        <v>3979</v>
      </c>
      <c r="D33" s="150" t="s">
        <v>1063</v>
      </c>
      <c r="E33" s="150" t="s">
        <v>724</v>
      </c>
      <c r="F33" s="150"/>
    </row>
    <row r="34" spans="2:6" x14ac:dyDescent="0.25">
      <c r="B34" s="150" t="s">
        <v>1178</v>
      </c>
      <c r="C34" s="151">
        <v>3980</v>
      </c>
      <c r="D34" s="150" t="s">
        <v>1066</v>
      </c>
      <c r="E34" s="150" t="s">
        <v>724</v>
      </c>
      <c r="F34" s="150"/>
    </row>
    <row r="35" spans="2:6" x14ac:dyDescent="0.25">
      <c r="B35" s="150" t="s">
        <v>1178</v>
      </c>
      <c r="C35" s="151">
        <v>3982</v>
      </c>
      <c r="D35" s="150" t="s">
        <v>1069</v>
      </c>
      <c r="E35" s="150" t="s">
        <v>724</v>
      </c>
      <c r="F35" s="150"/>
    </row>
    <row r="36" spans="2:6" x14ac:dyDescent="0.25">
      <c r="B36" s="150" t="s">
        <v>1178</v>
      </c>
      <c r="C36" s="151">
        <v>3983</v>
      </c>
      <c r="D36" s="150" t="s">
        <v>1072</v>
      </c>
      <c r="E36" s="150" t="s">
        <v>724</v>
      </c>
      <c r="F36" s="150"/>
    </row>
    <row r="37" spans="2:6" x14ac:dyDescent="0.25">
      <c r="B37" s="150" t="s">
        <v>1178</v>
      </c>
      <c r="C37" s="151">
        <v>3984</v>
      </c>
      <c r="D37" s="150" t="s">
        <v>1075</v>
      </c>
      <c r="E37" s="150" t="s">
        <v>724</v>
      </c>
      <c r="F37" s="150"/>
    </row>
    <row r="38" spans="2:6" x14ac:dyDescent="0.25">
      <c r="B38" s="150" t="s">
        <v>1891</v>
      </c>
      <c r="C38" s="151">
        <v>206271</v>
      </c>
      <c r="D38" s="150" t="s">
        <v>1892</v>
      </c>
      <c r="E38" s="150" t="s">
        <v>1602</v>
      </c>
      <c r="F38" s="150"/>
    </row>
    <row r="39" spans="2:6" x14ac:dyDescent="0.25">
      <c r="B39" s="150" t="s">
        <v>1893</v>
      </c>
      <c r="C39" s="151">
        <v>206274</v>
      </c>
      <c r="D39" s="150" t="s">
        <v>1894</v>
      </c>
      <c r="E39" s="150" t="s">
        <v>1398</v>
      </c>
      <c r="F39" s="150"/>
    </row>
    <row r="40" spans="2:6" x14ac:dyDescent="0.25">
      <c r="B40" s="150" t="s">
        <v>38</v>
      </c>
      <c r="C40" s="151">
        <v>206273</v>
      </c>
      <c r="D40" s="150" t="s">
        <v>1895</v>
      </c>
      <c r="E40" s="150" t="s">
        <v>143</v>
      </c>
      <c r="F40" s="150"/>
    </row>
  </sheetData>
  <pageMargins left="0.7" right="0.7" top="0.75" bottom="0.75" header="0.3" footer="0.3"/>
  <pageSetup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opLeftCell="A166" workbookViewId="0">
      <selection activeCell="A6" sqref="A6"/>
    </sheetView>
  </sheetViews>
  <sheetFormatPr baseColWidth="10" defaultRowHeight="15" x14ac:dyDescent="0.25"/>
  <cols>
    <col min="1" max="1" width="84.85546875" customWidth="1"/>
    <col min="2" max="4" width="11.42578125" style="130"/>
  </cols>
  <sheetData>
    <row r="1" spans="1:4" ht="18.75" x14ac:dyDescent="0.3">
      <c r="A1" s="152" t="s">
        <v>1729</v>
      </c>
    </row>
    <row r="2" spans="1:4" x14ac:dyDescent="0.25">
      <c r="A2" t="s">
        <v>1896</v>
      </c>
      <c r="B2" s="130" t="s">
        <v>234</v>
      </c>
      <c r="C2" s="130" t="s">
        <v>1897</v>
      </c>
      <c r="D2" s="130" t="s">
        <v>1898</v>
      </c>
    </row>
    <row r="3" spans="1:4" x14ac:dyDescent="0.25">
      <c r="A3" t="s">
        <v>1899</v>
      </c>
      <c r="B3" s="130" t="s">
        <v>234</v>
      </c>
      <c r="C3" s="130" t="s">
        <v>1897</v>
      </c>
      <c r="D3" s="130" t="s">
        <v>1900</v>
      </c>
    </row>
    <row r="4" spans="1:4" x14ac:dyDescent="0.25">
      <c r="A4" t="s">
        <v>1901</v>
      </c>
      <c r="B4" s="130" t="s">
        <v>234</v>
      </c>
      <c r="C4" s="130" t="s">
        <v>1897</v>
      </c>
      <c r="D4" s="130" t="s">
        <v>1902</v>
      </c>
    </row>
    <row r="5" spans="1:4" x14ac:dyDescent="0.25">
      <c r="A5" t="s">
        <v>1737</v>
      </c>
      <c r="B5" s="130" t="s">
        <v>234</v>
      </c>
      <c r="C5" s="130" t="s">
        <v>1897</v>
      </c>
      <c r="D5" s="130" t="s">
        <v>1903</v>
      </c>
    </row>
    <row r="6" spans="1:4" x14ac:dyDescent="0.25">
      <c r="A6" t="s">
        <v>1904</v>
      </c>
      <c r="B6" s="130" t="s">
        <v>234</v>
      </c>
      <c r="C6" s="130" t="s">
        <v>1743</v>
      </c>
      <c r="D6" s="130" t="s">
        <v>1905</v>
      </c>
    </row>
    <row r="7" spans="1:4" x14ac:dyDescent="0.25">
      <c r="A7" t="s">
        <v>1906</v>
      </c>
      <c r="B7" s="130" t="s">
        <v>234</v>
      </c>
      <c r="C7" s="130" t="s">
        <v>1743</v>
      </c>
      <c r="D7" s="130" t="s">
        <v>1905</v>
      </c>
    </row>
    <row r="8" spans="1:4" x14ac:dyDescent="0.25">
      <c r="A8" t="s">
        <v>1814</v>
      </c>
      <c r="B8" s="130" t="s">
        <v>234</v>
      </c>
      <c r="C8" s="130" t="s">
        <v>1897</v>
      </c>
      <c r="D8" s="130" t="s">
        <v>1902</v>
      </c>
    </row>
    <row r="9" spans="1:4" x14ac:dyDescent="0.25">
      <c r="A9" t="s">
        <v>1836</v>
      </c>
      <c r="B9" s="130" t="s">
        <v>234</v>
      </c>
      <c r="C9" s="130" t="s">
        <v>1897</v>
      </c>
      <c r="D9" s="130" t="s">
        <v>1907</v>
      </c>
    </row>
    <row r="10" spans="1:4" x14ac:dyDescent="0.25">
      <c r="A10" t="s">
        <v>1908</v>
      </c>
      <c r="B10" s="130" t="s">
        <v>234</v>
      </c>
      <c r="C10" s="130" t="s">
        <v>1897</v>
      </c>
      <c r="D10" s="130" t="s">
        <v>1903</v>
      </c>
    </row>
    <row r="11" spans="1:4" x14ac:dyDescent="0.25">
      <c r="A11" t="s">
        <v>1909</v>
      </c>
      <c r="B11" s="130" t="s">
        <v>234</v>
      </c>
      <c r="C11" s="130" t="s">
        <v>1897</v>
      </c>
      <c r="D11" s="130" t="s">
        <v>1900</v>
      </c>
    </row>
    <row r="12" spans="1:4" x14ac:dyDescent="0.25">
      <c r="A12" t="s">
        <v>1910</v>
      </c>
      <c r="B12" s="130" t="s">
        <v>234</v>
      </c>
      <c r="C12" s="130" t="s">
        <v>1897</v>
      </c>
      <c r="D12" s="130" t="s">
        <v>1911</v>
      </c>
    </row>
    <row r="13" spans="1:4" x14ac:dyDescent="0.25">
      <c r="A13" t="s">
        <v>1912</v>
      </c>
      <c r="B13" s="130" t="s">
        <v>234</v>
      </c>
      <c r="C13" s="130" t="s">
        <v>1897</v>
      </c>
      <c r="D13" s="130" t="s">
        <v>1913</v>
      </c>
    </row>
    <row r="14" spans="1:4" x14ac:dyDescent="0.25">
      <c r="A14" t="s">
        <v>1914</v>
      </c>
      <c r="B14" s="130" t="s">
        <v>234</v>
      </c>
      <c r="C14" s="130" t="s">
        <v>1897</v>
      </c>
      <c r="D14" s="130" t="s">
        <v>1915</v>
      </c>
    </row>
    <row r="15" spans="1:4" x14ac:dyDescent="0.25">
      <c r="A15" t="s">
        <v>1916</v>
      </c>
      <c r="B15" s="130" t="s">
        <v>234</v>
      </c>
      <c r="C15" s="130" t="s">
        <v>1897</v>
      </c>
      <c r="D15" s="130" t="s">
        <v>1898</v>
      </c>
    </row>
    <row r="16" spans="1:4" x14ac:dyDescent="0.25">
      <c r="A16" t="s">
        <v>1846</v>
      </c>
      <c r="B16" s="130" t="s">
        <v>234</v>
      </c>
      <c r="C16" s="130" t="s">
        <v>1897</v>
      </c>
      <c r="D16" s="130" t="s">
        <v>1903</v>
      </c>
    </row>
    <row r="17" spans="1:4" x14ac:dyDescent="0.25">
      <c r="A17" t="s">
        <v>1917</v>
      </c>
      <c r="B17" s="130" t="s">
        <v>234</v>
      </c>
      <c r="C17" s="130" t="s">
        <v>1734</v>
      </c>
      <c r="D17" s="130" t="s">
        <v>1913</v>
      </c>
    </row>
    <row r="18" spans="1:4" x14ac:dyDescent="0.25">
      <c r="A18" t="s">
        <v>1918</v>
      </c>
      <c r="B18" s="130" t="s">
        <v>234</v>
      </c>
      <c r="C18" s="130" t="s">
        <v>1897</v>
      </c>
      <c r="D18" s="130" t="s">
        <v>1903</v>
      </c>
    </row>
    <row r="19" spans="1:4" x14ac:dyDescent="0.25">
      <c r="A19" t="s">
        <v>1919</v>
      </c>
      <c r="B19" s="130" t="s">
        <v>234</v>
      </c>
      <c r="C19" s="130" t="s">
        <v>1734</v>
      </c>
      <c r="D19" s="130" t="s">
        <v>1905</v>
      </c>
    </row>
    <row r="20" spans="1:4" x14ac:dyDescent="0.25">
      <c r="A20" t="s">
        <v>1920</v>
      </c>
      <c r="B20" s="130" t="s">
        <v>234</v>
      </c>
      <c r="C20" s="130" t="s">
        <v>1734</v>
      </c>
      <c r="D20" s="130" t="s">
        <v>1903</v>
      </c>
    </row>
    <row r="21" spans="1:4" x14ac:dyDescent="0.25">
      <c r="A21" t="s">
        <v>1921</v>
      </c>
      <c r="B21" s="153" t="s">
        <v>1922</v>
      </c>
      <c r="C21" s="130" t="s">
        <v>1743</v>
      </c>
      <c r="D21" s="130" t="s">
        <v>1911</v>
      </c>
    </row>
    <row r="22" spans="1:4" x14ac:dyDescent="0.25">
      <c r="A22" t="s">
        <v>1923</v>
      </c>
      <c r="B22" s="153" t="s">
        <v>1922</v>
      </c>
      <c r="C22" s="130" t="s">
        <v>1743</v>
      </c>
      <c r="D22" s="130" t="s">
        <v>1911</v>
      </c>
    </row>
    <row r="23" spans="1:4" x14ac:dyDescent="0.25">
      <c r="A23" t="s">
        <v>1924</v>
      </c>
      <c r="B23" s="153" t="s">
        <v>1922</v>
      </c>
      <c r="C23" s="130" t="s">
        <v>1743</v>
      </c>
      <c r="D23" s="130" t="s">
        <v>1911</v>
      </c>
    </row>
    <row r="24" spans="1:4" x14ac:dyDescent="0.25">
      <c r="A24" t="s">
        <v>1925</v>
      </c>
      <c r="B24" s="130" t="s">
        <v>234</v>
      </c>
      <c r="C24" s="130" t="s">
        <v>1897</v>
      </c>
      <c r="D24" s="130" t="s">
        <v>1911</v>
      </c>
    </row>
    <row r="25" spans="1:4" x14ac:dyDescent="0.25">
      <c r="A25" t="s">
        <v>1926</v>
      </c>
      <c r="B25" s="130" t="s">
        <v>234</v>
      </c>
      <c r="C25" s="130" t="s">
        <v>1897</v>
      </c>
      <c r="D25" s="130" t="s">
        <v>1927</v>
      </c>
    </row>
    <row r="26" spans="1:4" x14ac:dyDescent="0.25">
      <c r="A26" t="s">
        <v>1812</v>
      </c>
      <c r="B26" s="130" t="s">
        <v>234</v>
      </c>
      <c r="C26" s="130" t="s">
        <v>1897</v>
      </c>
      <c r="D26" s="130" t="s">
        <v>1903</v>
      </c>
    </row>
    <row r="27" spans="1:4" x14ac:dyDescent="0.25">
      <c r="A27" t="s">
        <v>1928</v>
      </c>
      <c r="B27" s="130" t="s">
        <v>234</v>
      </c>
      <c r="C27" s="130" t="s">
        <v>1734</v>
      </c>
      <c r="D27" s="130" t="s">
        <v>1900</v>
      </c>
    </row>
    <row r="28" spans="1:4" x14ac:dyDescent="0.25">
      <c r="A28" t="s">
        <v>1929</v>
      </c>
      <c r="B28" s="130" t="s">
        <v>234</v>
      </c>
      <c r="C28" s="130" t="s">
        <v>1897</v>
      </c>
      <c r="D28" s="130" t="s">
        <v>1900</v>
      </c>
    </row>
    <row r="29" spans="1:4" x14ac:dyDescent="0.25">
      <c r="A29" t="s">
        <v>1930</v>
      </c>
      <c r="B29" s="153" t="s">
        <v>1922</v>
      </c>
      <c r="C29" s="130" t="s">
        <v>1743</v>
      </c>
      <c r="D29" s="130" t="s">
        <v>1913</v>
      </c>
    </row>
    <row r="30" spans="1:4" x14ac:dyDescent="0.25">
      <c r="A30" t="s">
        <v>1931</v>
      </c>
      <c r="B30" s="130" t="s">
        <v>234</v>
      </c>
      <c r="C30" s="130" t="s">
        <v>1897</v>
      </c>
      <c r="D30" s="130" t="s">
        <v>1913</v>
      </c>
    </row>
    <row r="31" spans="1:4" x14ac:dyDescent="0.25">
      <c r="A31" t="s">
        <v>1932</v>
      </c>
      <c r="B31" s="130" t="s">
        <v>234</v>
      </c>
      <c r="C31" s="130" t="s">
        <v>1897</v>
      </c>
      <c r="D31" s="130" t="s">
        <v>1933</v>
      </c>
    </row>
    <row r="32" spans="1:4" x14ac:dyDescent="0.25">
      <c r="A32" t="s">
        <v>1934</v>
      </c>
      <c r="B32" s="130" t="s">
        <v>234</v>
      </c>
      <c r="C32" s="130" t="s">
        <v>1897</v>
      </c>
      <c r="D32" s="130" t="s">
        <v>1903</v>
      </c>
    </row>
    <row r="33" spans="1:4" x14ac:dyDescent="0.25">
      <c r="A33" t="s">
        <v>1935</v>
      </c>
      <c r="B33" s="130" t="s">
        <v>234</v>
      </c>
      <c r="C33" s="130" t="s">
        <v>1734</v>
      </c>
      <c r="D33" s="130" t="s">
        <v>1933</v>
      </c>
    </row>
    <row r="34" spans="1:4" x14ac:dyDescent="0.25">
      <c r="A34" t="s">
        <v>1936</v>
      </c>
      <c r="B34" s="130" t="s">
        <v>234</v>
      </c>
      <c r="C34" s="130" t="s">
        <v>1897</v>
      </c>
      <c r="D34" s="130" t="s">
        <v>1913</v>
      </c>
    </row>
    <row r="35" spans="1:4" x14ac:dyDescent="0.25">
      <c r="A35" t="s">
        <v>1937</v>
      </c>
      <c r="B35" s="130" t="s">
        <v>234</v>
      </c>
      <c r="C35" s="130" t="s">
        <v>1897</v>
      </c>
      <c r="D35" s="130" t="s">
        <v>1938</v>
      </c>
    </row>
    <row r="36" spans="1:4" x14ac:dyDescent="0.25">
      <c r="A36" t="s">
        <v>1939</v>
      </c>
      <c r="B36" s="130" t="s">
        <v>234</v>
      </c>
      <c r="C36" s="130" t="s">
        <v>1897</v>
      </c>
      <c r="D36" s="130" t="s">
        <v>1911</v>
      </c>
    </row>
    <row r="37" spans="1:4" x14ac:dyDescent="0.25">
      <c r="A37" t="s">
        <v>1940</v>
      </c>
      <c r="B37" s="130" t="s">
        <v>234</v>
      </c>
      <c r="C37" s="130" t="s">
        <v>1897</v>
      </c>
      <c r="D37" s="130" t="s">
        <v>1911</v>
      </c>
    </row>
    <row r="38" spans="1:4" x14ac:dyDescent="0.25">
      <c r="A38" t="s">
        <v>1941</v>
      </c>
      <c r="B38" s="130" t="s">
        <v>234</v>
      </c>
      <c r="C38" s="130" t="s">
        <v>1897</v>
      </c>
      <c r="D38" s="130" t="s">
        <v>1911</v>
      </c>
    </row>
    <row r="39" spans="1:4" x14ac:dyDescent="0.25">
      <c r="A39" t="s">
        <v>1942</v>
      </c>
      <c r="B39" s="130" t="s">
        <v>234</v>
      </c>
      <c r="C39" s="130" t="s">
        <v>1734</v>
      </c>
      <c r="D39" s="130" t="s">
        <v>1938</v>
      </c>
    </row>
    <row r="40" spans="1:4" x14ac:dyDescent="0.25">
      <c r="A40" t="s">
        <v>1943</v>
      </c>
      <c r="B40" s="130" t="s">
        <v>234</v>
      </c>
      <c r="C40" s="130" t="s">
        <v>1897</v>
      </c>
      <c r="D40" s="130" t="s">
        <v>1938</v>
      </c>
    </row>
    <row r="41" spans="1:4" x14ac:dyDescent="0.25">
      <c r="A41" t="s">
        <v>1944</v>
      </c>
      <c r="B41" s="130" t="s">
        <v>234</v>
      </c>
      <c r="C41" s="130" t="s">
        <v>1897</v>
      </c>
      <c r="D41" s="130" t="s">
        <v>1900</v>
      </c>
    </row>
    <row r="42" spans="1:4" x14ac:dyDescent="0.25">
      <c r="A42" t="s">
        <v>1779</v>
      </c>
      <c r="B42" s="130" t="s">
        <v>234</v>
      </c>
      <c r="C42" s="130" t="s">
        <v>1897</v>
      </c>
      <c r="D42" s="130" t="s">
        <v>1903</v>
      </c>
    </row>
    <row r="43" spans="1:4" x14ac:dyDescent="0.25">
      <c r="A43" t="s">
        <v>1845</v>
      </c>
      <c r="B43" s="130" t="s">
        <v>234</v>
      </c>
      <c r="C43" s="130" t="s">
        <v>1897</v>
      </c>
      <c r="D43" s="130" t="s">
        <v>1903</v>
      </c>
    </row>
    <row r="44" spans="1:4" x14ac:dyDescent="0.25">
      <c r="A44" t="s">
        <v>1945</v>
      </c>
      <c r="B44" s="130" t="s">
        <v>234</v>
      </c>
      <c r="C44" s="130" t="s">
        <v>1897</v>
      </c>
      <c r="D44" s="130" t="s">
        <v>1913</v>
      </c>
    </row>
    <row r="45" spans="1:4" x14ac:dyDescent="0.25">
      <c r="A45" t="s">
        <v>1763</v>
      </c>
      <c r="B45" s="130" t="s">
        <v>234</v>
      </c>
      <c r="C45" s="130" t="s">
        <v>1897</v>
      </c>
      <c r="D45" s="130" t="s">
        <v>1903</v>
      </c>
    </row>
    <row r="46" spans="1:4" x14ac:dyDescent="0.25">
      <c r="A46" t="s">
        <v>1840</v>
      </c>
      <c r="B46" s="130" t="s">
        <v>234</v>
      </c>
      <c r="C46" s="130" t="s">
        <v>1897</v>
      </c>
      <c r="D46" s="130" t="s">
        <v>1903</v>
      </c>
    </row>
    <row r="47" spans="1:4" x14ac:dyDescent="0.25">
      <c r="A47" t="s">
        <v>1838</v>
      </c>
      <c r="B47" s="130" t="s">
        <v>234</v>
      </c>
      <c r="C47" s="130" t="s">
        <v>1897</v>
      </c>
      <c r="D47" s="130" t="s">
        <v>1903</v>
      </c>
    </row>
    <row r="48" spans="1:4" x14ac:dyDescent="0.25">
      <c r="A48" t="s">
        <v>1946</v>
      </c>
      <c r="B48" s="130" t="s">
        <v>234</v>
      </c>
      <c r="C48" s="130" t="s">
        <v>1734</v>
      </c>
      <c r="D48" s="130" t="s">
        <v>1903</v>
      </c>
    </row>
    <row r="49" spans="1:4" x14ac:dyDescent="0.25">
      <c r="A49" t="s">
        <v>1947</v>
      </c>
      <c r="B49" s="130" t="s">
        <v>234</v>
      </c>
      <c r="C49" s="130" t="s">
        <v>1734</v>
      </c>
      <c r="D49" s="130" t="s">
        <v>1948</v>
      </c>
    </row>
    <row r="50" spans="1:4" x14ac:dyDescent="0.25">
      <c r="A50" t="s">
        <v>1949</v>
      </c>
      <c r="B50" s="130" t="s">
        <v>234</v>
      </c>
      <c r="C50" s="130" t="s">
        <v>1734</v>
      </c>
      <c r="D50" s="130" t="s">
        <v>1933</v>
      </c>
    </row>
    <row r="51" spans="1:4" x14ac:dyDescent="0.25">
      <c r="A51" t="s">
        <v>1950</v>
      </c>
      <c r="B51" s="153" t="s">
        <v>1922</v>
      </c>
      <c r="C51" s="130" t="s">
        <v>1743</v>
      </c>
      <c r="D51" s="130" t="s">
        <v>1902</v>
      </c>
    </row>
    <row r="52" spans="1:4" x14ac:dyDescent="0.25">
      <c r="A52" t="s">
        <v>1951</v>
      </c>
      <c r="B52" s="153" t="s">
        <v>1922</v>
      </c>
      <c r="C52" s="130" t="s">
        <v>1743</v>
      </c>
      <c r="D52" s="130" t="s">
        <v>1952</v>
      </c>
    </row>
    <row r="53" spans="1:4" x14ac:dyDescent="0.25">
      <c r="A53" t="s">
        <v>1953</v>
      </c>
      <c r="B53" s="153" t="s">
        <v>1922</v>
      </c>
      <c r="C53" s="130" t="s">
        <v>1743</v>
      </c>
      <c r="D53" s="130" t="s">
        <v>1948</v>
      </c>
    </row>
    <row r="54" spans="1:4" x14ac:dyDescent="0.25">
      <c r="A54" t="s">
        <v>1954</v>
      </c>
      <c r="B54" s="153" t="s">
        <v>1922</v>
      </c>
      <c r="C54" s="130" t="s">
        <v>1743</v>
      </c>
      <c r="D54" s="130" t="s">
        <v>1903</v>
      </c>
    </row>
    <row r="55" spans="1:4" x14ac:dyDescent="0.25">
      <c r="A55" t="s">
        <v>1955</v>
      </c>
      <c r="B55" s="130" t="s">
        <v>234</v>
      </c>
      <c r="C55" s="130" t="s">
        <v>1743</v>
      </c>
      <c r="D55" s="130" t="s">
        <v>1905</v>
      </c>
    </row>
    <row r="56" spans="1:4" x14ac:dyDescent="0.25">
      <c r="A56" t="s">
        <v>1956</v>
      </c>
      <c r="B56" s="153" t="s">
        <v>1922</v>
      </c>
      <c r="C56" s="130" t="s">
        <v>1743</v>
      </c>
      <c r="D56" s="130" t="s">
        <v>1911</v>
      </c>
    </row>
    <row r="57" spans="1:4" x14ac:dyDescent="0.25">
      <c r="A57" t="s">
        <v>1957</v>
      </c>
      <c r="B57" s="153" t="s">
        <v>1922</v>
      </c>
      <c r="C57" s="130" t="s">
        <v>1743</v>
      </c>
      <c r="D57" s="130" t="s">
        <v>1911</v>
      </c>
    </row>
    <row r="58" spans="1:4" x14ac:dyDescent="0.25">
      <c r="A58" t="s">
        <v>1958</v>
      </c>
      <c r="B58" s="153" t="s">
        <v>1922</v>
      </c>
      <c r="C58" s="130" t="s">
        <v>1743</v>
      </c>
      <c r="D58" s="130" t="s">
        <v>1913</v>
      </c>
    </row>
    <row r="59" spans="1:4" x14ac:dyDescent="0.25">
      <c r="A59" t="s">
        <v>1959</v>
      </c>
      <c r="B59" s="153" t="s">
        <v>1922</v>
      </c>
      <c r="C59" s="130" t="s">
        <v>1743</v>
      </c>
      <c r="D59" s="130" t="s">
        <v>1952</v>
      </c>
    </row>
    <row r="60" spans="1:4" x14ac:dyDescent="0.25">
      <c r="A60" t="s">
        <v>1960</v>
      </c>
      <c r="B60" s="153" t="s">
        <v>1922</v>
      </c>
      <c r="C60" s="130" t="s">
        <v>1743</v>
      </c>
      <c r="D60" s="130" t="s">
        <v>1903</v>
      </c>
    </row>
    <row r="61" spans="1:4" x14ac:dyDescent="0.25">
      <c r="A61" t="s">
        <v>1961</v>
      </c>
      <c r="B61" s="130" t="s">
        <v>234</v>
      </c>
      <c r="C61" s="130" t="s">
        <v>1897</v>
      </c>
      <c r="D61" s="130" t="s">
        <v>1903</v>
      </c>
    </row>
    <row r="62" spans="1:4" x14ac:dyDescent="0.25">
      <c r="A62" t="s">
        <v>1962</v>
      </c>
      <c r="B62" s="130" t="s">
        <v>234</v>
      </c>
      <c r="C62" s="130" t="s">
        <v>1897</v>
      </c>
      <c r="D62" s="130" t="s">
        <v>1902</v>
      </c>
    </row>
    <row r="63" spans="1:4" x14ac:dyDescent="0.25">
      <c r="A63" t="s">
        <v>1963</v>
      </c>
      <c r="B63" s="130" t="s">
        <v>234</v>
      </c>
      <c r="C63" s="130" t="s">
        <v>1897</v>
      </c>
      <c r="D63" s="130" t="s">
        <v>1907</v>
      </c>
    </row>
    <row r="64" spans="1:4" x14ac:dyDescent="0.25">
      <c r="A64" t="s">
        <v>1964</v>
      </c>
      <c r="B64" s="130" t="s">
        <v>234</v>
      </c>
      <c r="C64" s="130" t="s">
        <v>1897</v>
      </c>
      <c r="D64" s="130" t="s">
        <v>1948</v>
      </c>
    </row>
    <row r="65" spans="1:4" x14ac:dyDescent="0.25">
      <c r="A65" t="s">
        <v>1965</v>
      </c>
      <c r="B65" s="130" t="s">
        <v>234</v>
      </c>
      <c r="C65" s="130" t="s">
        <v>1897</v>
      </c>
      <c r="D65" s="130" t="s">
        <v>1933</v>
      </c>
    </row>
    <row r="66" spans="1:4" x14ac:dyDescent="0.25">
      <c r="A66" t="s">
        <v>1966</v>
      </c>
      <c r="B66" s="130" t="s">
        <v>234</v>
      </c>
      <c r="C66" s="130" t="s">
        <v>1897</v>
      </c>
      <c r="D66" s="130" t="s">
        <v>1933</v>
      </c>
    </row>
    <row r="67" spans="1:4" x14ac:dyDescent="0.25">
      <c r="A67" t="s">
        <v>1967</v>
      </c>
      <c r="B67" s="130" t="s">
        <v>234</v>
      </c>
      <c r="C67" s="130" t="s">
        <v>1734</v>
      </c>
      <c r="D67" s="130" t="s">
        <v>1911</v>
      </c>
    </row>
    <row r="68" spans="1:4" x14ac:dyDescent="0.25">
      <c r="A68" t="s">
        <v>1968</v>
      </c>
      <c r="B68" s="153" t="s">
        <v>1922</v>
      </c>
      <c r="C68" s="130" t="s">
        <v>1743</v>
      </c>
      <c r="D68" s="130" t="s">
        <v>1948</v>
      </c>
    </row>
    <row r="69" spans="1:4" x14ac:dyDescent="0.25">
      <c r="A69" t="s">
        <v>1969</v>
      </c>
      <c r="B69" s="130" t="s">
        <v>234</v>
      </c>
      <c r="C69" s="130" t="s">
        <v>1897</v>
      </c>
      <c r="D69" s="130" t="s">
        <v>1970</v>
      </c>
    </row>
    <row r="70" spans="1:4" x14ac:dyDescent="0.25">
      <c r="A70" t="s">
        <v>1971</v>
      </c>
      <c r="B70" s="130" t="s">
        <v>234</v>
      </c>
      <c r="C70" s="130" t="s">
        <v>1897</v>
      </c>
      <c r="D70" s="130" t="s">
        <v>1972</v>
      </c>
    </row>
    <row r="71" spans="1:4" x14ac:dyDescent="0.25">
      <c r="A71" t="s">
        <v>1973</v>
      </c>
      <c r="B71" s="130" t="s">
        <v>234</v>
      </c>
      <c r="C71" s="130" t="s">
        <v>1897</v>
      </c>
      <c r="D71" s="130" t="s">
        <v>1974</v>
      </c>
    </row>
    <row r="72" spans="1:4" x14ac:dyDescent="0.25">
      <c r="A72" t="s">
        <v>1975</v>
      </c>
      <c r="B72" s="130" t="s">
        <v>234</v>
      </c>
      <c r="C72" s="130" t="s">
        <v>1897</v>
      </c>
      <c r="D72" s="130" t="s">
        <v>1974</v>
      </c>
    </row>
    <row r="73" spans="1:4" x14ac:dyDescent="0.25">
      <c r="A73" t="s">
        <v>1711</v>
      </c>
      <c r="B73" s="130" t="s">
        <v>234</v>
      </c>
      <c r="C73" s="130" t="s">
        <v>1897</v>
      </c>
      <c r="D73" s="130" t="s">
        <v>1915</v>
      </c>
    </row>
    <row r="74" spans="1:4" x14ac:dyDescent="0.25">
      <c r="A74" t="s">
        <v>1976</v>
      </c>
      <c r="B74" s="130" t="s">
        <v>234</v>
      </c>
      <c r="C74" s="130" t="s">
        <v>1897</v>
      </c>
      <c r="D74" s="130" t="s">
        <v>1913</v>
      </c>
    </row>
    <row r="75" spans="1:4" x14ac:dyDescent="0.25">
      <c r="A75" t="s">
        <v>1977</v>
      </c>
      <c r="B75" s="130" t="s">
        <v>234</v>
      </c>
      <c r="C75" s="130" t="s">
        <v>1734</v>
      </c>
      <c r="D75" s="130" t="s">
        <v>1902</v>
      </c>
    </row>
    <row r="76" spans="1:4" x14ac:dyDescent="0.25">
      <c r="A76" t="s">
        <v>1978</v>
      </c>
      <c r="B76" s="130" t="s">
        <v>234</v>
      </c>
      <c r="C76" s="130" t="s">
        <v>1897</v>
      </c>
      <c r="D76" s="130" t="s">
        <v>1902</v>
      </c>
    </row>
    <row r="77" spans="1:4" x14ac:dyDescent="0.25">
      <c r="A77" t="s">
        <v>1979</v>
      </c>
      <c r="B77" s="130" t="s">
        <v>234</v>
      </c>
      <c r="C77" s="130" t="s">
        <v>1897</v>
      </c>
      <c r="D77" s="130" t="s">
        <v>1915</v>
      </c>
    </row>
    <row r="78" spans="1:4" x14ac:dyDescent="0.25">
      <c r="A78" t="s">
        <v>1980</v>
      </c>
      <c r="B78" s="153" t="s">
        <v>1922</v>
      </c>
      <c r="C78" s="130" t="s">
        <v>1743</v>
      </c>
      <c r="D78" s="130" t="s">
        <v>1933</v>
      </c>
    </row>
    <row r="79" spans="1:4" x14ac:dyDescent="0.25">
      <c r="A79" t="s">
        <v>1981</v>
      </c>
      <c r="B79" s="153" t="s">
        <v>1922</v>
      </c>
      <c r="C79" s="130" t="s">
        <v>1743</v>
      </c>
      <c r="D79" s="130" t="s">
        <v>1933</v>
      </c>
    </row>
    <row r="80" spans="1:4" x14ac:dyDescent="0.25">
      <c r="A80" t="s">
        <v>1982</v>
      </c>
      <c r="B80" s="130" t="s">
        <v>234</v>
      </c>
      <c r="C80" s="130" t="s">
        <v>1897</v>
      </c>
      <c r="D80" s="130" t="s">
        <v>1903</v>
      </c>
    </row>
    <row r="81" spans="1:4" x14ac:dyDescent="0.25">
      <c r="A81" t="s">
        <v>1983</v>
      </c>
      <c r="B81" s="130" t="s">
        <v>234</v>
      </c>
      <c r="C81" s="130" t="s">
        <v>1897</v>
      </c>
      <c r="D81" s="130" t="s">
        <v>1903</v>
      </c>
    </row>
    <row r="82" spans="1:4" x14ac:dyDescent="0.25">
      <c r="A82" t="s">
        <v>1790</v>
      </c>
      <c r="B82" s="130" t="s">
        <v>234</v>
      </c>
      <c r="C82" s="130" t="s">
        <v>1897</v>
      </c>
      <c r="D82" s="130" t="s">
        <v>1903</v>
      </c>
    </row>
    <row r="83" spans="1:4" x14ac:dyDescent="0.25">
      <c r="A83" t="s">
        <v>1984</v>
      </c>
      <c r="B83" s="153" t="s">
        <v>1922</v>
      </c>
      <c r="C83" s="130" t="s">
        <v>1743</v>
      </c>
      <c r="D83" s="130" t="s">
        <v>1915</v>
      </c>
    </row>
    <row r="84" spans="1:4" x14ac:dyDescent="0.25">
      <c r="A84" t="s">
        <v>1985</v>
      </c>
      <c r="B84" s="130" t="s">
        <v>234</v>
      </c>
      <c r="C84" s="130" t="s">
        <v>1897</v>
      </c>
      <c r="D84" s="130" t="s">
        <v>1907</v>
      </c>
    </row>
    <row r="85" spans="1:4" x14ac:dyDescent="0.25">
      <c r="A85" t="s">
        <v>1986</v>
      </c>
      <c r="B85" s="153" t="s">
        <v>1922</v>
      </c>
      <c r="C85" s="130" t="s">
        <v>1743</v>
      </c>
      <c r="D85" s="130" t="s">
        <v>1948</v>
      </c>
    </row>
    <row r="86" spans="1:4" x14ac:dyDescent="0.25">
      <c r="A86" t="s">
        <v>1987</v>
      </c>
      <c r="B86" s="130" t="s">
        <v>234</v>
      </c>
      <c r="C86" s="130" t="s">
        <v>1734</v>
      </c>
      <c r="D86" s="130" t="s">
        <v>1903</v>
      </c>
    </row>
    <row r="87" spans="1:4" x14ac:dyDescent="0.25">
      <c r="A87" t="s">
        <v>1988</v>
      </c>
      <c r="B87" s="130" t="s">
        <v>234</v>
      </c>
      <c r="C87" s="130" t="s">
        <v>1897</v>
      </c>
      <c r="D87" s="130" t="s">
        <v>1913</v>
      </c>
    </row>
    <row r="88" spans="1:4" x14ac:dyDescent="0.25">
      <c r="A88" t="s">
        <v>1989</v>
      </c>
      <c r="B88" s="130" t="s">
        <v>234</v>
      </c>
      <c r="C88" s="130" t="s">
        <v>1897</v>
      </c>
      <c r="D88" s="130" t="s">
        <v>1913</v>
      </c>
    </row>
    <row r="89" spans="1:4" x14ac:dyDescent="0.25">
      <c r="A89" t="s">
        <v>1990</v>
      </c>
      <c r="B89" s="130" t="s">
        <v>234</v>
      </c>
      <c r="C89" s="130" t="s">
        <v>1897</v>
      </c>
      <c r="D89" s="130" t="s">
        <v>1902</v>
      </c>
    </row>
    <row r="90" spans="1:4" x14ac:dyDescent="0.25">
      <c r="A90" t="s">
        <v>1991</v>
      </c>
      <c r="B90" s="130" t="s">
        <v>234</v>
      </c>
      <c r="C90" s="130" t="s">
        <v>1734</v>
      </c>
      <c r="D90" s="130" t="s">
        <v>1913</v>
      </c>
    </row>
    <row r="91" spans="1:4" x14ac:dyDescent="0.25">
      <c r="A91" t="s">
        <v>1761</v>
      </c>
      <c r="B91" s="130" t="s">
        <v>234</v>
      </c>
      <c r="C91" s="130" t="s">
        <v>1897</v>
      </c>
      <c r="D91" s="130" t="s">
        <v>1903</v>
      </c>
    </row>
    <row r="92" spans="1:4" x14ac:dyDescent="0.25">
      <c r="A92" t="s">
        <v>1992</v>
      </c>
      <c r="B92" s="130" t="s">
        <v>234</v>
      </c>
      <c r="C92" s="130" t="s">
        <v>1897</v>
      </c>
      <c r="D92" s="130" t="s">
        <v>1903</v>
      </c>
    </row>
    <row r="93" spans="1:4" x14ac:dyDescent="0.25">
      <c r="A93" t="s">
        <v>1993</v>
      </c>
      <c r="B93" s="130" t="s">
        <v>234</v>
      </c>
      <c r="C93" s="130" t="s">
        <v>1897</v>
      </c>
      <c r="D93" s="130" t="s">
        <v>1915</v>
      </c>
    </row>
    <row r="94" spans="1:4" x14ac:dyDescent="0.25">
      <c r="A94" t="s">
        <v>1994</v>
      </c>
      <c r="B94" s="130" t="s">
        <v>234</v>
      </c>
      <c r="C94" s="130" t="s">
        <v>1897</v>
      </c>
      <c r="D94" s="130" t="s">
        <v>1952</v>
      </c>
    </row>
    <row r="95" spans="1:4" x14ac:dyDescent="0.25">
      <c r="A95" t="s">
        <v>1995</v>
      </c>
      <c r="B95" s="130" t="s">
        <v>234</v>
      </c>
      <c r="C95" s="130" t="s">
        <v>1897</v>
      </c>
      <c r="D95" s="130" t="s">
        <v>1902</v>
      </c>
    </row>
    <row r="96" spans="1:4" x14ac:dyDescent="0.25">
      <c r="A96" t="s">
        <v>1996</v>
      </c>
      <c r="B96" s="153" t="s">
        <v>1922</v>
      </c>
      <c r="C96" s="130" t="s">
        <v>1743</v>
      </c>
      <c r="D96" s="130" t="s">
        <v>1913</v>
      </c>
    </row>
    <row r="97" spans="1:4" x14ac:dyDescent="0.25">
      <c r="A97" t="s">
        <v>1832</v>
      </c>
      <c r="B97" s="130" t="s">
        <v>234</v>
      </c>
      <c r="C97" s="130" t="s">
        <v>1897</v>
      </c>
      <c r="D97" s="130" t="s">
        <v>1915</v>
      </c>
    </row>
    <row r="98" spans="1:4" x14ac:dyDescent="0.25">
      <c r="A98" t="s">
        <v>1997</v>
      </c>
      <c r="B98" s="130" t="s">
        <v>234</v>
      </c>
      <c r="C98" s="130" t="s">
        <v>1897</v>
      </c>
      <c r="D98" s="130" t="s">
        <v>1903</v>
      </c>
    </row>
    <row r="99" spans="1:4" x14ac:dyDescent="0.25">
      <c r="A99" t="s">
        <v>1998</v>
      </c>
      <c r="B99" s="130" t="s">
        <v>234</v>
      </c>
      <c r="C99" s="130" t="s">
        <v>1897</v>
      </c>
      <c r="D99" s="130" t="s">
        <v>1911</v>
      </c>
    </row>
    <row r="100" spans="1:4" x14ac:dyDescent="0.25">
      <c r="A100" t="s">
        <v>1999</v>
      </c>
      <c r="B100" s="130" t="s">
        <v>234</v>
      </c>
      <c r="C100" s="130" t="s">
        <v>1897</v>
      </c>
      <c r="D100" s="130" t="s">
        <v>1903</v>
      </c>
    </row>
    <row r="101" spans="1:4" x14ac:dyDescent="0.25">
      <c r="A101" t="s">
        <v>2000</v>
      </c>
      <c r="B101" s="130" t="s">
        <v>234</v>
      </c>
      <c r="C101" s="130" t="s">
        <v>1734</v>
      </c>
      <c r="D101" s="130" t="s">
        <v>1952</v>
      </c>
    </row>
    <row r="102" spans="1:4" x14ac:dyDescent="0.25">
      <c r="A102" t="s">
        <v>2001</v>
      </c>
      <c r="B102" s="130" t="s">
        <v>234</v>
      </c>
      <c r="C102" s="130" t="s">
        <v>1897</v>
      </c>
      <c r="D102" s="130" t="s">
        <v>1915</v>
      </c>
    </row>
    <row r="103" spans="1:4" x14ac:dyDescent="0.25">
      <c r="A103" t="s">
        <v>2002</v>
      </c>
      <c r="B103" s="130" t="s">
        <v>234</v>
      </c>
      <c r="C103" s="130" t="s">
        <v>1897</v>
      </c>
      <c r="D103" s="130" t="s">
        <v>1915</v>
      </c>
    </row>
    <row r="104" spans="1:4" x14ac:dyDescent="0.25">
      <c r="A104" t="s">
        <v>2003</v>
      </c>
      <c r="B104" s="130" t="s">
        <v>234</v>
      </c>
      <c r="C104" s="130" t="s">
        <v>1897</v>
      </c>
      <c r="D104" s="130" t="s">
        <v>1913</v>
      </c>
    </row>
    <row r="105" spans="1:4" x14ac:dyDescent="0.25">
      <c r="A105" t="s">
        <v>2004</v>
      </c>
      <c r="B105" s="130" t="s">
        <v>234</v>
      </c>
      <c r="C105" s="130" t="s">
        <v>1897</v>
      </c>
      <c r="D105" s="130" t="s">
        <v>1903</v>
      </c>
    </row>
    <row r="106" spans="1:4" x14ac:dyDescent="0.25">
      <c r="A106" t="s">
        <v>2005</v>
      </c>
      <c r="B106" s="130" t="s">
        <v>234</v>
      </c>
      <c r="C106" s="130" t="s">
        <v>1897</v>
      </c>
      <c r="D106" s="130" t="s">
        <v>1903</v>
      </c>
    </row>
    <row r="107" spans="1:4" x14ac:dyDescent="0.25">
      <c r="A107" t="s">
        <v>2006</v>
      </c>
      <c r="B107" s="130" t="s">
        <v>234</v>
      </c>
      <c r="C107" s="130" t="s">
        <v>1897</v>
      </c>
      <c r="D107" s="130" t="s">
        <v>1903</v>
      </c>
    </row>
    <row r="108" spans="1:4" x14ac:dyDescent="0.25">
      <c r="A108" t="s">
        <v>2007</v>
      </c>
      <c r="B108" s="153" t="s">
        <v>1922</v>
      </c>
      <c r="C108" s="130" t="s">
        <v>1743</v>
      </c>
      <c r="D108" s="130" t="s">
        <v>1952</v>
      </c>
    </row>
    <row r="109" spans="1:4" x14ac:dyDescent="0.25">
      <c r="A109" t="s">
        <v>2008</v>
      </c>
      <c r="B109" s="130" t="s">
        <v>234</v>
      </c>
      <c r="C109" s="130" t="s">
        <v>1734</v>
      </c>
      <c r="D109" s="130" t="s">
        <v>1905</v>
      </c>
    </row>
    <row r="110" spans="1:4" x14ac:dyDescent="0.25">
      <c r="A110" t="s">
        <v>1787</v>
      </c>
      <c r="B110" s="130" t="s">
        <v>234</v>
      </c>
      <c r="C110" s="130" t="s">
        <v>1897</v>
      </c>
      <c r="D110" s="130" t="s">
        <v>1907</v>
      </c>
    </row>
    <row r="111" spans="1:4" x14ac:dyDescent="0.25">
      <c r="A111" t="s">
        <v>2009</v>
      </c>
      <c r="B111" s="130" t="s">
        <v>234</v>
      </c>
      <c r="C111" s="130" t="s">
        <v>1897</v>
      </c>
      <c r="D111" s="130" t="s">
        <v>1900</v>
      </c>
    </row>
    <row r="112" spans="1:4" x14ac:dyDescent="0.25">
      <c r="A112" t="s">
        <v>2010</v>
      </c>
      <c r="B112" s="130" t="s">
        <v>234</v>
      </c>
      <c r="C112" s="130" t="s">
        <v>1897</v>
      </c>
      <c r="D112" s="130" t="s">
        <v>1913</v>
      </c>
    </row>
    <row r="113" spans="1:4" x14ac:dyDescent="0.25">
      <c r="A113" t="s">
        <v>2011</v>
      </c>
      <c r="B113" s="130" t="s">
        <v>234</v>
      </c>
      <c r="C113" s="130" t="s">
        <v>1743</v>
      </c>
      <c r="D113" s="130" t="s">
        <v>1905</v>
      </c>
    </row>
    <row r="114" spans="1:4" x14ac:dyDescent="0.25">
      <c r="A114" t="s">
        <v>2012</v>
      </c>
      <c r="B114" s="130" t="s">
        <v>234</v>
      </c>
      <c r="C114" s="130" t="s">
        <v>1734</v>
      </c>
      <c r="D114" s="130" t="s">
        <v>1903</v>
      </c>
    </row>
    <row r="115" spans="1:4" x14ac:dyDescent="0.25">
      <c r="A115" t="s">
        <v>2013</v>
      </c>
      <c r="B115" s="130" t="s">
        <v>234</v>
      </c>
      <c r="C115" s="130" t="s">
        <v>1734</v>
      </c>
      <c r="D115" s="130" t="s">
        <v>1913</v>
      </c>
    </row>
    <row r="116" spans="1:4" x14ac:dyDescent="0.25">
      <c r="A116" t="s">
        <v>2014</v>
      </c>
      <c r="B116" s="130" t="s">
        <v>234</v>
      </c>
      <c r="C116" s="130" t="s">
        <v>1734</v>
      </c>
      <c r="D116" s="130" t="s">
        <v>1900</v>
      </c>
    </row>
    <row r="117" spans="1:4" x14ac:dyDescent="0.25">
      <c r="A117" t="s">
        <v>1860</v>
      </c>
      <c r="B117" s="130" t="s">
        <v>234</v>
      </c>
      <c r="C117" s="130" t="s">
        <v>1734</v>
      </c>
      <c r="D117" s="130" t="s">
        <v>1915</v>
      </c>
    </row>
    <row r="118" spans="1:4" x14ac:dyDescent="0.25">
      <c r="A118" t="s">
        <v>2015</v>
      </c>
      <c r="B118" s="130" t="s">
        <v>234</v>
      </c>
      <c r="C118" s="130" t="s">
        <v>1897</v>
      </c>
      <c r="D118" s="130" t="s">
        <v>1900</v>
      </c>
    </row>
    <row r="119" spans="1:4" x14ac:dyDescent="0.25">
      <c r="A119" t="s">
        <v>2016</v>
      </c>
      <c r="B119" s="153" t="s">
        <v>1922</v>
      </c>
      <c r="C119" s="130" t="s">
        <v>1743</v>
      </c>
      <c r="D119" s="130" t="s">
        <v>1911</v>
      </c>
    </row>
    <row r="120" spans="1:4" x14ac:dyDescent="0.25">
      <c r="A120" t="s">
        <v>1768</v>
      </c>
      <c r="B120" s="130" t="s">
        <v>234</v>
      </c>
      <c r="C120" s="130" t="s">
        <v>1743</v>
      </c>
      <c r="D120" s="130" t="s">
        <v>1913</v>
      </c>
    </row>
    <row r="121" spans="1:4" x14ac:dyDescent="0.25">
      <c r="A121" t="s">
        <v>2017</v>
      </c>
      <c r="B121" s="130" t="s">
        <v>234</v>
      </c>
      <c r="C121" s="130" t="s">
        <v>1897</v>
      </c>
      <c r="D121" s="130" t="s">
        <v>1903</v>
      </c>
    </row>
    <row r="122" spans="1:4" x14ac:dyDescent="0.25">
      <c r="A122" t="s">
        <v>2018</v>
      </c>
      <c r="B122" s="130" t="s">
        <v>234</v>
      </c>
      <c r="C122" s="130" t="s">
        <v>1897</v>
      </c>
      <c r="D122" s="130" t="s">
        <v>1915</v>
      </c>
    </row>
    <row r="123" spans="1:4" x14ac:dyDescent="0.25">
      <c r="A123" t="s">
        <v>2019</v>
      </c>
      <c r="B123" s="130" t="s">
        <v>234</v>
      </c>
      <c r="C123" s="130" t="s">
        <v>1897</v>
      </c>
      <c r="D123" s="130" t="s">
        <v>1900</v>
      </c>
    </row>
    <row r="124" spans="1:4" x14ac:dyDescent="0.25">
      <c r="A124" t="s">
        <v>1804</v>
      </c>
      <c r="B124" s="130" t="s">
        <v>234</v>
      </c>
      <c r="C124" s="130" t="s">
        <v>1734</v>
      </c>
      <c r="D124" s="130" t="s">
        <v>1913</v>
      </c>
    </row>
    <row r="125" spans="1:4" x14ac:dyDescent="0.25">
      <c r="A125" t="s">
        <v>2020</v>
      </c>
      <c r="B125" s="130" t="s">
        <v>234</v>
      </c>
      <c r="C125" s="130" t="s">
        <v>1897</v>
      </c>
      <c r="D125" s="130" t="s">
        <v>1900</v>
      </c>
    </row>
    <row r="126" spans="1:4" x14ac:dyDescent="0.25">
      <c r="A126" t="s">
        <v>2021</v>
      </c>
      <c r="B126" s="130" t="s">
        <v>234</v>
      </c>
      <c r="C126" s="130" t="s">
        <v>1897</v>
      </c>
      <c r="D126" s="130" t="s">
        <v>1913</v>
      </c>
    </row>
    <row r="127" spans="1:4" x14ac:dyDescent="0.25">
      <c r="A127" t="s">
        <v>2022</v>
      </c>
      <c r="B127" s="130" t="s">
        <v>234</v>
      </c>
      <c r="C127" s="130" t="s">
        <v>1897</v>
      </c>
      <c r="D127" s="130" t="s">
        <v>1913</v>
      </c>
    </row>
    <row r="128" spans="1:4" x14ac:dyDescent="0.25">
      <c r="A128" t="s">
        <v>2023</v>
      </c>
      <c r="B128" s="153" t="s">
        <v>1922</v>
      </c>
      <c r="C128" s="130" t="s">
        <v>1743</v>
      </c>
      <c r="D128" s="130" t="s">
        <v>1911</v>
      </c>
    </row>
    <row r="129" spans="1:4" x14ac:dyDescent="0.25">
      <c r="A129" t="s">
        <v>2024</v>
      </c>
      <c r="B129" s="130" t="s">
        <v>234</v>
      </c>
      <c r="C129" s="130" t="s">
        <v>1897</v>
      </c>
      <c r="D129" s="130" t="s">
        <v>1902</v>
      </c>
    </row>
    <row r="130" spans="1:4" x14ac:dyDescent="0.25">
      <c r="A130" t="s">
        <v>2025</v>
      </c>
      <c r="B130" s="130" t="s">
        <v>234</v>
      </c>
      <c r="C130" s="130" t="s">
        <v>1897</v>
      </c>
      <c r="D130" s="130" t="s">
        <v>1915</v>
      </c>
    </row>
    <row r="131" spans="1:4" x14ac:dyDescent="0.25">
      <c r="A131" t="s">
        <v>2026</v>
      </c>
      <c r="B131" s="130" t="s">
        <v>234</v>
      </c>
      <c r="C131" s="130" t="s">
        <v>1897</v>
      </c>
      <c r="D131" s="130" t="s">
        <v>1933</v>
      </c>
    </row>
    <row r="132" spans="1:4" x14ac:dyDescent="0.25">
      <c r="A132" t="s">
        <v>2027</v>
      </c>
      <c r="B132" s="130" t="s">
        <v>234</v>
      </c>
      <c r="C132" s="130" t="s">
        <v>1897</v>
      </c>
      <c r="D132" s="130" t="s">
        <v>1933</v>
      </c>
    </row>
    <row r="133" spans="1:4" x14ac:dyDescent="0.25">
      <c r="A133" t="s">
        <v>2028</v>
      </c>
      <c r="B133" s="130" t="s">
        <v>234</v>
      </c>
      <c r="C133" s="130" t="s">
        <v>1897</v>
      </c>
      <c r="D133" s="130" t="s">
        <v>1903</v>
      </c>
    </row>
    <row r="134" spans="1:4" x14ac:dyDescent="0.25">
      <c r="A134" t="s">
        <v>2029</v>
      </c>
      <c r="B134" s="153" t="s">
        <v>1922</v>
      </c>
      <c r="C134" s="130" t="s">
        <v>1743</v>
      </c>
      <c r="D134" s="130" t="s">
        <v>1933</v>
      </c>
    </row>
    <row r="135" spans="1:4" x14ac:dyDescent="0.25">
      <c r="A135" t="s">
        <v>2030</v>
      </c>
      <c r="B135" s="130" t="s">
        <v>234</v>
      </c>
      <c r="C135" s="130" t="s">
        <v>1897</v>
      </c>
      <c r="D135" s="130" t="s">
        <v>1905</v>
      </c>
    </row>
    <row r="136" spans="1:4" x14ac:dyDescent="0.25">
      <c r="A136" t="s">
        <v>2031</v>
      </c>
      <c r="B136" s="130" t="s">
        <v>234</v>
      </c>
      <c r="C136" s="130" t="s">
        <v>1897</v>
      </c>
      <c r="D136" s="130" t="s">
        <v>1913</v>
      </c>
    </row>
    <row r="137" spans="1:4" x14ac:dyDescent="0.25">
      <c r="A137" t="s">
        <v>2032</v>
      </c>
      <c r="B137" s="153" t="s">
        <v>1922</v>
      </c>
      <c r="C137" s="130" t="s">
        <v>1743</v>
      </c>
      <c r="D137" s="130" t="s">
        <v>2033</v>
      </c>
    </row>
    <row r="138" spans="1:4" x14ac:dyDescent="0.25">
      <c r="A138" t="s">
        <v>2034</v>
      </c>
      <c r="B138" s="153" t="s">
        <v>1922</v>
      </c>
      <c r="C138" s="130" t="s">
        <v>1743</v>
      </c>
      <c r="D138" s="130" t="s">
        <v>1915</v>
      </c>
    </row>
    <row r="139" spans="1:4" x14ac:dyDescent="0.25">
      <c r="A139" t="s">
        <v>2035</v>
      </c>
      <c r="B139" s="130" t="s">
        <v>234</v>
      </c>
      <c r="C139" s="130" t="s">
        <v>1734</v>
      </c>
      <c r="D139" s="130" t="s">
        <v>1933</v>
      </c>
    </row>
    <row r="140" spans="1:4" x14ac:dyDescent="0.25">
      <c r="A140" t="s">
        <v>2036</v>
      </c>
      <c r="B140" s="130" t="s">
        <v>234</v>
      </c>
      <c r="C140" s="130" t="s">
        <v>1734</v>
      </c>
      <c r="D140" s="130" t="s">
        <v>1913</v>
      </c>
    </row>
    <row r="141" spans="1:4" x14ac:dyDescent="0.25">
      <c r="A141" t="s">
        <v>2037</v>
      </c>
      <c r="B141" s="130" t="s">
        <v>234</v>
      </c>
      <c r="C141" s="130" t="s">
        <v>1897</v>
      </c>
      <c r="D141" s="130" t="s">
        <v>1905</v>
      </c>
    </row>
    <row r="142" spans="1:4" x14ac:dyDescent="0.25">
      <c r="A142" t="s">
        <v>1741</v>
      </c>
      <c r="B142" s="130" t="s">
        <v>234</v>
      </c>
      <c r="C142" s="130" t="s">
        <v>1743</v>
      </c>
      <c r="D142" s="130" t="s">
        <v>1905</v>
      </c>
    </row>
    <row r="143" spans="1:4" x14ac:dyDescent="0.25">
      <c r="A143" t="s">
        <v>2038</v>
      </c>
      <c r="B143" s="130" t="s">
        <v>234</v>
      </c>
      <c r="C143" s="130" t="s">
        <v>1743</v>
      </c>
      <c r="D143" s="130" t="s">
        <v>1905</v>
      </c>
    </row>
    <row r="144" spans="1:4" x14ac:dyDescent="0.25">
      <c r="A144" t="s">
        <v>2039</v>
      </c>
      <c r="B144" s="130" t="s">
        <v>234</v>
      </c>
      <c r="C144" s="130" t="s">
        <v>1897</v>
      </c>
      <c r="D144" s="130" t="s">
        <v>1905</v>
      </c>
    </row>
    <row r="145" spans="1:4" x14ac:dyDescent="0.25">
      <c r="A145" t="s">
        <v>2040</v>
      </c>
      <c r="B145" s="130" t="s">
        <v>234</v>
      </c>
      <c r="C145" s="130" t="s">
        <v>1734</v>
      </c>
      <c r="D145" s="130" t="s">
        <v>1903</v>
      </c>
    </row>
    <row r="146" spans="1:4" x14ac:dyDescent="0.25">
      <c r="A146" t="s">
        <v>2041</v>
      </c>
      <c r="B146" s="130" t="s">
        <v>234</v>
      </c>
      <c r="C146" s="130" t="s">
        <v>1897</v>
      </c>
      <c r="D146" s="130" t="s">
        <v>1902</v>
      </c>
    </row>
    <row r="147" spans="1:4" x14ac:dyDescent="0.25">
      <c r="A147" t="s">
        <v>2042</v>
      </c>
      <c r="B147" s="130" t="s">
        <v>234</v>
      </c>
      <c r="C147" s="130" t="s">
        <v>1897</v>
      </c>
      <c r="D147" s="130" t="s">
        <v>1907</v>
      </c>
    </row>
    <row r="148" spans="1:4" x14ac:dyDescent="0.25">
      <c r="A148" t="s">
        <v>1842</v>
      </c>
      <c r="B148" s="130" t="s">
        <v>234</v>
      </c>
      <c r="C148" s="130" t="s">
        <v>1897</v>
      </c>
      <c r="D148" s="130" t="s">
        <v>1907</v>
      </c>
    </row>
    <row r="149" spans="1:4" x14ac:dyDescent="0.25">
      <c r="A149" t="s">
        <v>2043</v>
      </c>
      <c r="B149" s="130" t="s">
        <v>234</v>
      </c>
      <c r="C149" s="130" t="s">
        <v>1897</v>
      </c>
      <c r="D149" s="130" t="s">
        <v>1903</v>
      </c>
    </row>
    <row r="150" spans="1:4" x14ac:dyDescent="0.25">
      <c r="A150" t="s">
        <v>1851</v>
      </c>
      <c r="B150" s="130" t="s">
        <v>234</v>
      </c>
      <c r="C150" s="130" t="s">
        <v>1897</v>
      </c>
      <c r="D150" s="130" t="s">
        <v>1913</v>
      </c>
    </row>
    <row r="151" spans="1:4" x14ac:dyDescent="0.25">
      <c r="A151" t="s">
        <v>2044</v>
      </c>
      <c r="B151" s="130" t="s">
        <v>234</v>
      </c>
      <c r="C151" s="130" t="s">
        <v>1897</v>
      </c>
      <c r="D151" s="130" t="s">
        <v>1903</v>
      </c>
    </row>
    <row r="152" spans="1:4" x14ac:dyDescent="0.25">
      <c r="A152" t="s">
        <v>2045</v>
      </c>
      <c r="B152" s="130" t="s">
        <v>234</v>
      </c>
      <c r="C152" s="130" t="s">
        <v>1734</v>
      </c>
      <c r="D152" s="130" t="s">
        <v>1938</v>
      </c>
    </row>
    <row r="153" spans="1:4" x14ac:dyDescent="0.25">
      <c r="A153" t="s">
        <v>2046</v>
      </c>
      <c r="B153" s="130" t="s">
        <v>234</v>
      </c>
      <c r="C153" s="130" t="s">
        <v>1743</v>
      </c>
      <c r="D153" s="130" t="s">
        <v>1905</v>
      </c>
    </row>
    <row r="154" spans="1:4" x14ac:dyDescent="0.25">
      <c r="A154" t="s">
        <v>2047</v>
      </c>
      <c r="B154" s="130" t="s">
        <v>234</v>
      </c>
      <c r="C154" s="130" t="s">
        <v>1734</v>
      </c>
      <c r="D154" s="130" t="s">
        <v>1938</v>
      </c>
    </row>
    <row r="155" spans="1:4" x14ac:dyDescent="0.25">
      <c r="A155" t="s">
        <v>2048</v>
      </c>
      <c r="B155" s="130" t="s">
        <v>234</v>
      </c>
      <c r="C155" s="130" t="s">
        <v>1734</v>
      </c>
      <c r="D155" s="130" t="s">
        <v>1903</v>
      </c>
    </row>
    <row r="156" spans="1:4" x14ac:dyDescent="0.25">
      <c r="A156" t="s">
        <v>2049</v>
      </c>
      <c r="B156" s="130" t="s">
        <v>234</v>
      </c>
      <c r="C156" s="130" t="s">
        <v>1734</v>
      </c>
      <c r="D156" s="130" t="s">
        <v>1911</v>
      </c>
    </row>
    <row r="157" spans="1:4" x14ac:dyDescent="0.25">
      <c r="A157" t="s">
        <v>2050</v>
      </c>
      <c r="B157" s="130" t="s">
        <v>234</v>
      </c>
      <c r="C157" s="130" t="s">
        <v>1734</v>
      </c>
      <c r="D157" s="130" t="s">
        <v>1900</v>
      </c>
    </row>
    <row r="158" spans="1:4" x14ac:dyDescent="0.25">
      <c r="A158" t="s">
        <v>2051</v>
      </c>
      <c r="B158" s="130" t="s">
        <v>234</v>
      </c>
      <c r="C158" s="130" t="s">
        <v>1734</v>
      </c>
      <c r="D158" s="130" t="s">
        <v>2052</v>
      </c>
    </row>
    <row r="159" spans="1:4" x14ac:dyDescent="0.25">
      <c r="A159" t="s">
        <v>2053</v>
      </c>
      <c r="B159" s="130" t="s">
        <v>234</v>
      </c>
      <c r="C159" s="130" t="s">
        <v>1734</v>
      </c>
      <c r="D159" s="130" t="s">
        <v>1903</v>
      </c>
    </row>
    <row r="160" spans="1:4" x14ac:dyDescent="0.25">
      <c r="A160" t="s">
        <v>1796</v>
      </c>
      <c r="B160" s="130" t="s">
        <v>234</v>
      </c>
      <c r="C160" s="130" t="s">
        <v>1734</v>
      </c>
      <c r="D160" s="130" t="s">
        <v>1903</v>
      </c>
    </row>
    <row r="161" spans="1:4" x14ac:dyDescent="0.25">
      <c r="A161" t="s">
        <v>1760</v>
      </c>
      <c r="B161" s="130" t="s">
        <v>234</v>
      </c>
      <c r="C161" s="130" t="s">
        <v>1734</v>
      </c>
      <c r="D161" s="130" t="s">
        <v>1913</v>
      </c>
    </row>
    <row r="162" spans="1:4" x14ac:dyDescent="0.25">
      <c r="A162" t="s">
        <v>2054</v>
      </c>
      <c r="B162" s="130" t="s">
        <v>234</v>
      </c>
      <c r="C162" s="130" t="s">
        <v>1734</v>
      </c>
      <c r="D162" s="130" t="s">
        <v>1903</v>
      </c>
    </row>
    <row r="163" spans="1:4" x14ac:dyDescent="0.25">
      <c r="A163" t="s">
        <v>2055</v>
      </c>
      <c r="B163" s="130" t="s">
        <v>234</v>
      </c>
      <c r="C163" s="130" t="s">
        <v>1734</v>
      </c>
      <c r="D163" s="130" t="s">
        <v>1933</v>
      </c>
    </row>
    <row r="164" spans="1:4" x14ac:dyDescent="0.25">
      <c r="A164" t="s">
        <v>1807</v>
      </c>
      <c r="B164" s="130" t="s">
        <v>234</v>
      </c>
      <c r="C164" s="130" t="s">
        <v>1734</v>
      </c>
      <c r="D164" s="130" t="s">
        <v>1907</v>
      </c>
    </row>
    <row r="165" spans="1:4" x14ac:dyDescent="0.25">
      <c r="A165" t="s">
        <v>2056</v>
      </c>
      <c r="B165" s="130" t="s">
        <v>234</v>
      </c>
      <c r="C165" s="130" t="s">
        <v>1734</v>
      </c>
      <c r="D165" s="130" t="s">
        <v>1913</v>
      </c>
    </row>
    <row r="166" spans="1:4" x14ac:dyDescent="0.25">
      <c r="A166" t="s">
        <v>2057</v>
      </c>
      <c r="B166" s="130" t="s">
        <v>234</v>
      </c>
      <c r="C166" s="130" t="s">
        <v>1734</v>
      </c>
      <c r="D166" s="130" t="s">
        <v>1903</v>
      </c>
    </row>
    <row r="167" spans="1:4" x14ac:dyDescent="0.25">
      <c r="A167" t="s">
        <v>2058</v>
      </c>
      <c r="B167" s="130" t="s">
        <v>234</v>
      </c>
      <c r="C167" s="130" t="s">
        <v>1734</v>
      </c>
      <c r="D167" s="130" t="s">
        <v>1902</v>
      </c>
    </row>
    <row r="168" spans="1:4" x14ac:dyDescent="0.25">
      <c r="A168" t="s">
        <v>2059</v>
      </c>
      <c r="B168" s="130" t="s">
        <v>234</v>
      </c>
      <c r="C168" s="130" t="s">
        <v>1734</v>
      </c>
      <c r="D168" s="130" t="s">
        <v>1903</v>
      </c>
    </row>
    <row r="169" spans="1:4" x14ac:dyDescent="0.25">
      <c r="A169" t="s">
        <v>2060</v>
      </c>
      <c r="B169" s="130" t="s">
        <v>234</v>
      </c>
      <c r="C169" s="130" t="s">
        <v>1734</v>
      </c>
      <c r="D169" s="130" t="s">
        <v>2061</v>
      </c>
    </row>
    <row r="170" spans="1:4" x14ac:dyDescent="0.25">
      <c r="A170" t="s">
        <v>2062</v>
      </c>
      <c r="B170" s="153" t="s">
        <v>1922</v>
      </c>
      <c r="C170" s="130" t="s">
        <v>1743</v>
      </c>
      <c r="D170" s="130" t="s">
        <v>1913</v>
      </c>
    </row>
    <row r="171" spans="1:4" x14ac:dyDescent="0.25">
      <c r="A171" t="s">
        <v>2063</v>
      </c>
      <c r="B171" s="130" t="s">
        <v>234</v>
      </c>
      <c r="C171" s="130" t="s">
        <v>1734</v>
      </c>
      <c r="D171" s="130" t="s">
        <v>2064</v>
      </c>
    </row>
    <row r="172" spans="1:4" x14ac:dyDescent="0.25">
      <c r="A172" t="s">
        <v>2065</v>
      </c>
      <c r="B172" s="130" t="s">
        <v>234</v>
      </c>
      <c r="C172" s="130" t="s">
        <v>1734</v>
      </c>
      <c r="D172" s="130" t="s">
        <v>1913</v>
      </c>
    </row>
    <row r="173" spans="1:4" x14ac:dyDescent="0.25">
      <c r="A173" t="s">
        <v>2066</v>
      </c>
      <c r="B173" s="130" t="s">
        <v>234</v>
      </c>
      <c r="C173" s="130" t="s">
        <v>1734</v>
      </c>
      <c r="D173" s="130" t="s">
        <v>1913</v>
      </c>
    </row>
    <row r="174" spans="1:4" x14ac:dyDescent="0.25">
      <c r="A174" t="s">
        <v>1816</v>
      </c>
      <c r="B174" s="130" t="s">
        <v>234</v>
      </c>
      <c r="C174" s="130" t="s">
        <v>1734</v>
      </c>
      <c r="D174" s="130" t="s">
        <v>1903</v>
      </c>
    </row>
    <row r="175" spans="1:4" x14ac:dyDescent="0.25">
      <c r="A175" t="s">
        <v>2067</v>
      </c>
      <c r="B175" s="130" t="s">
        <v>234</v>
      </c>
      <c r="C175" s="130" t="s">
        <v>1734</v>
      </c>
      <c r="D175" s="130" t="s">
        <v>1903</v>
      </c>
    </row>
    <row r="176" spans="1:4" x14ac:dyDescent="0.25">
      <c r="A176" t="s">
        <v>1758</v>
      </c>
      <c r="B176" s="153" t="s">
        <v>1922</v>
      </c>
      <c r="C176" s="130" t="s">
        <v>1743</v>
      </c>
      <c r="D176" s="130" t="s">
        <v>1952</v>
      </c>
    </row>
    <row r="177" spans="1:4" x14ac:dyDescent="0.25">
      <c r="A177" t="s">
        <v>2068</v>
      </c>
      <c r="B177" s="130" t="s">
        <v>234</v>
      </c>
      <c r="C177" s="130" t="s">
        <v>1734</v>
      </c>
      <c r="D177" s="130" t="s">
        <v>1911</v>
      </c>
    </row>
    <row r="178" spans="1:4" x14ac:dyDescent="0.25">
      <c r="A178" t="s">
        <v>2069</v>
      </c>
      <c r="B178" s="130" t="s">
        <v>234</v>
      </c>
      <c r="C178" s="130" t="s">
        <v>1743</v>
      </c>
      <c r="D178" s="130" t="s">
        <v>2070</v>
      </c>
    </row>
    <row r="179" spans="1:4" x14ac:dyDescent="0.25">
      <c r="A179" t="s">
        <v>2071</v>
      </c>
      <c r="B179" s="130" t="s">
        <v>234</v>
      </c>
      <c r="C179" s="130" t="s">
        <v>1743</v>
      </c>
      <c r="D179" s="130" t="s">
        <v>1938</v>
      </c>
    </row>
    <row r="180" spans="1:4" x14ac:dyDescent="0.25">
      <c r="A180" t="s">
        <v>2072</v>
      </c>
      <c r="B180" s="130" t="s">
        <v>234</v>
      </c>
      <c r="C180" s="130" t="s">
        <v>1734</v>
      </c>
      <c r="D180" s="130" t="s">
        <v>1902</v>
      </c>
    </row>
    <row r="181" spans="1:4" x14ac:dyDescent="0.25">
      <c r="A181" t="s">
        <v>2073</v>
      </c>
      <c r="B181" s="130" t="s">
        <v>234</v>
      </c>
      <c r="C181" s="130" t="s">
        <v>1734</v>
      </c>
      <c r="D181" s="130" t="s">
        <v>2064</v>
      </c>
    </row>
    <row r="182" spans="1:4" x14ac:dyDescent="0.25">
      <c r="A182" t="s">
        <v>2074</v>
      </c>
      <c r="B182" s="130" t="s">
        <v>234</v>
      </c>
      <c r="C182" s="130" t="s">
        <v>1734</v>
      </c>
      <c r="D182" s="130" t="s">
        <v>1913</v>
      </c>
    </row>
    <row r="183" spans="1:4" x14ac:dyDescent="0.25">
      <c r="A183" t="s">
        <v>2075</v>
      </c>
      <c r="B183" s="130" t="s">
        <v>234</v>
      </c>
      <c r="C183" s="130" t="s">
        <v>1734</v>
      </c>
      <c r="D183" s="130" t="s">
        <v>1900</v>
      </c>
    </row>
    <row r="184" spans="1:4" x14ac:dyDescent="0.25">
      <c r="A184" t="s">
        <v>2076</v>
      </c>
      <c r="B184" s="130" t="s">
        <v>234</v>
      </c>
      <c r="C184" s="130" t="s">
        <v>1734</v>
      </c>
      <c r="D184" s="130" t="s">
        <v>1902</v>
      </c>
    </row>
    <row r="185" spans="1:4" x14ac:dyDescent="0.25">
      <c r="A185" t="s">
        <v>2077</v>
      </c>
      <c r="B185" s="130" t="s">
        <v>234</v>
      </c>
      <c r="C185" s="130" t="s">
        <v>1734</v>
      </c>
      <c r="D185" s="130" t="s">
        <v>1907</v>
      </c>
    </row>
    <row r="186" spans="1:4" x14ac:dyDescent="0.25">
      <c r="A186" t="s">
        <v>2078</v>
      </c>
      <c r="B186" s="130" t="s">
        <v>234</v>
      </c>
      <c r="C186" s="130" t="s">
        <v>1734</v>
      </c>
      <c r="D186" s="130" t="s">
        <v>1900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opLeftCell="A70" zoomScale="52" workbookViewId="0">
      <selection activeCell="A6" sqref="A6"/>
    </sheetView>
  </sheetViews>
  <sheetFormatPr baseColWidth="10" defaultRowHeight="15" x14ac:dyDescent="0.25"/>
  <cols>
    <col min="1" max="1" width="6.7109375" bestFit="1" customWidth="1"/>
    <col min="2" max="2" width="58.85546875" customWidth="1"/>
    <col min="3" max="3" width="11.7109375" bestFit="1" customWidth="1"/>
    <col min="4" max="4" width="76.85546875" bestFit="1" customWidth="1"/>
    <col min="5" max="5" width="69.7109375" customWidth="1"/>
    <col min="6" max="6" width="38.85546875" bestFit="1" customWidth="1"/>
    <col min="8" max="8" width="11.42578125" customWidth="1"/>
  </cols>
  <sheetData>
    <row r="1" spans="1:20" s="167" customFormat="1" ht="30" customHeight="1" thickBot="1" x14ac:dyDescent="0.35">
      <c r="A1" s="154">
        <v>301</v>
      </c>
      <c r="B1" s="155" t="s">
        <v>28</v>
      </c>
      <c r="C1" s="156" t="s">
        <v>2079</v>
      </c>
      <c r="D1" s="157" t="s">
        <v>2080</v>
      </c>
      <c r="E1" s="158" t="s">
        <v>31</v>
      </c>
      <c r="F1" s="159" t="s">
        <v>2081</v>
      </c>
      <c r="G1" s="160"/>
      <c r="H1" s="161"/>
      <c r="I1" s="160"/>
      <c r="J1" s="160"/>
      <c r="K1" s="161"/>
      <c r="L1" s="160"/>
      <c r="M1" s="162" t="str">
        <f>IF(N1="","",VLOOKUP(N1,'CURSOS 2025'!$A$3:$D$199,3,FALSE))</f>
        <v/>
      </c>
      <c r="N1" s="159"/>
      <c r="O1" s="163"/>
      <c r="P1" s="164"/>
      <c r="Q1" s="162" t="str">
        <f>IF(N1="","",VLOOKUP(N1,'CURSOS 2025'!$A$3:$D$199,4,FALSE))</f>
        <v/>
      </c>
      <c r="R1" s="165" t="s">
        <v>37</v>
      </c>
      <c r="S1" s="166" t="str">
        <f>IF(N1="","",VLOOKUP(N1,'CURSOS 2025'!$A$3:$B$199,2,FALSE))</f>
        <v/>
      </c>
      <c r="T1" s="166"/>
    </row>
    <row r="2" spans="1:20" s="181" customFormat="1" ht="30" customHeight="1" thickBot="1" x14ac:dyDescent="0.35">
      <c r="A2" s="168">
        <v>301</v>
      </c>
      <c r="B2" s="169" t="s">
        <v>38</v>
      </c>
      <c r="C2" s="170" t="s">
        <v>2082</v>
      </c>
      <c r="D2" s="171" t="s">
        <v>2083</v>
      </c>
      <c r="E2" s="172" t="s">
        <v>31</v>
      </c>
      <c r="F2" s="173" t="s">
        <v>2084</v>
      </c>
      <c r="G2" s="174"/>
      <c r="H2" s="175"/>
      <c r="I2" s="174"/>
      <c r="J2" s="174"/>
      <c r="K2" s="175"/>
      <c r="L2" s="174"/>
      <c r="M2" s="176" t="str">
        <f>IF(N2="","",VLOOKUP(N2,'CURSOS 2025'!$A$3:$D$199,3,FALSE))</f>
        <v/>
      </c>
      <c r="N2" s="173"/>
      <c r="O2" s="177"/>
      <c r="P2" s="178"/>
      <c r="Q2" s="176" t="str">
        <f>IF(N2="","",VLOOKUP(N2,'CURSOS 2025'!$A$3:$D$199,4,FALSE))</f>
        <v/>
      </c>
      <c r="R2" s="179" t="s">
        <v>37</v>
      </c>
      <c r="S2" s="180" t="str">
        <f>IF(N2="","",VLOOKUP(N2,'CURSOS 2025'!$A$3:$B$199,2,FALSE))</f>
        <v/>
      </c>
      <c r="T2" s="180"/>
    </row>
    <row r="3" spans="1:20" s="167" customFormat="1" ht="30" customHeight="1" thickBot="1" x14ac:dyDescent="0.35">
      <c r="A3" s="182">
        <v>301</v>
      </c>
      <c r="B3" s="183" t="s">
        <v>42</v>
      </c>
      <c r="C3" s="184">
        <v>206227</v>
      </c>
      <c r="D3" s="185" t="s">
        <v>2085</v>
      </c>
      <c r="E3" s="186" t="s">
        <v>31</v>
      </c>
      <c r="F3" s="187" t="s">
        <v>2086</v>
      </c>
      <c r="G3" s="188"/>
      <c r="H3" s="189"/>
      <c r="I3" s="188"/>
      <c r="J3" s="188"/>
      <c r="K3" s="189"/>
      <c r="L3" s="188"/>
      <c r="M3" s="162" t="str">
        <f>IF(N3="","",VLOOKUP(N3,'CURSOS 2025'!$A$3:$D$199,3,FALSE))</f>
        <v/>
      </c>
      <c r="N3" s="187"/>
      <c r="O3" s="190"/>
      <c r="P3" s="191"/>
      <c r="Q3" s="162" t="str">
        <f>IF(N3="","",VLOOKUP(N3,'CURSOS 2025'!$A$3:$D$199,4,FALSE))</f>
        <v/>
      </c>
      <c r="R3" s="192" t="s">
        <v>2087</v>
      </c>
      <c r="S3" s="166" t="str">
        <f>IF(N3="","",VLOOKUP(N3,'CURSOS 2025'!$A$3:$B$199,2,FALSE))</f>
        <v/>
      </c>
      <c r="T3" s="166"/>
    </row>
    <row r="4" spans="1:20" s="167" customFormat="1" ht="30" customHeight="1" thickBot="1" x14ac:dyDescent="0.35">
      <c r="A4" s="182">
        <v>301</v>
      </c>
      <c r="B4" s="183" t="s">
        <v>38</v>
      </c>
      <c r="C4" s="184">
        <v>206228</v>
      </c>
      <c r="D4" s="185" t="s">
        <v>2088</v>
      </c>
      <c r="E4" s="186" t="s">
        <v>31</v>
      </c>
      <c r="F4" s="187" t="s">
        <v>2089</v>
      </c>
      <c r="G4" s="188"/>
      <c r="H4" s="189"/>
      <c r="I4" s="188"/>
      <c r="J4" s="188"/>
      <c r="K4" s="189"/>
      <c r="L4" s="188"/>
      <c r="M4" s="162" t="str">
        <f>IF(N4="","",VLOOKUP(N4,'CURSOS 2025'!$A$3:$D$199,3,FALSE))</f>
        <v/>
      </c>
      <c r="N4" s="187"/>
      <c r="O4" s="190"/>
      <c r="P4" s="191"/>
      <c r="Q4" s="162" t="str">
        <f>IF(N4="","",VLOOKUP(N4,'CURSOS 2025'!$A$3:$D$199,4,FALSE))</f>
        <v/>
      </c>
      <c r="R4" s="192" t="s">
        <v>2087</v>
      </c>
      <c r="S4" s="166" t="str">
        <f>IF(N4="","",VLOOKUP(N4,'CURSOS 2025'!$A$3:$B$199,2,FALSE))</f>
        <v/>
      </c>
      <c r="T4" s="166"/>
    </row>
    <row r="5" spans="1:20" s="181" customFormat="1" ht="30" customHeight="1" thickBot="1" x14ac:dyDescent="0.35">
      <c r="A5" s="168">
        <v>301</v>
      </c>
      <c r="B5" s="169" t="s">
        <v>2090</v>
      </c>
      <c r="C5" s="170" t="s">
        <v>2091</v>
      </c>
      <c r="D5" s="171" t="s">
        <v>1880</v>
      </c>
      <c r="E5" s="172" t="s">
        <v>31</v>
      </c>
      <c r="F5" s="173" t="s">
        <v>2092</v>
      </c>
      <c r="G5" s="174"/>
      <c r="H5" s="175"/>
      <c r="I5" s="174"/>
      <c r="J5" s="174"/>
      <c r="K5" s="175"/>
      <c r="L5" s="174"/>
      <c r="M5" s="176" t="str">
        <f>IF(N5="","",VLOOKUP(N5,'CURSOS 2025'!$A$3:$D$199,3,FALSE))</f>
        <v/>
      </c>
      <c r="N5" s="173"/>
      <c r="O5" s="177"/>
      <c r="P5" s="178"/>
      <c r="Q5" s="176" t="str">
        <f>IF(N5="","",VLOOKUP(N5,'CURSOS 2025'!$A$3:$D$199,4,FALSE))</f>
        <v/>
      </c>
      <c r="R5" s="179" t="s">
        <v>2087</v>
      </c>
      <c r="S5" s="180" t="str">
        <f>IF(N5="","",VLOOKUP(N5,'CURSOS 2025'!$A$3:$B$199,2,FALSE))</f>
        <v/>
      </c>
      <c r="T5" s="180"/>
    </row>
    <row r="6" spans="1:20" s="167" customFormat="1" ht="30" customHeight="1" thickBot="1" x14ac:dyDescent="0.35">
      <c r="A6" s="182">
        <v>317</v>
      </c>
      <c r="B6" s="183" t="s">
        <v>50</v>
      </c>
      <c r="C6" s="184">
        <v>20502</v>
      </c>
      <c r="D6" s="185" t="s">
        <v>2093</v>
      </c>
      <c r="E6" s="193" t="s">
        <v>1872</v>
      </c>
      <c r="F6" s="187" t="s">
        <v>2094</v>
      </c>
      <c r="G6" s="188"/>
      <c r="H6" s="189"/>
      <c r="I6" s="188"/>
      <c r="J6" s="188"/>
      <c r="K6" s="189"/>
      <c r="L6" s="188"/>
      <c r="M6" s="162" t="str">
        <f>IF(N6="","",VLOOKUP(N6,'CURSOS 2025'!$A$3:$D$199,3,FALSE))</f>
        <v/>
      </c>
      <c r="N6" s="187"/>
      <c r="O6" s="190"/>
      <c r="P6" s="191"/>
      <c r="Q6" s="162" t="str">
        <f>IF(N6="","",VLOOKUP(N6,'CURSOS 2025'!$A$3:$D$199,4,FALSE))</f>
        <v/>
      </c>
      <c r="R6" s="192" t="s">
        <v>37</v>
      </c>
      <c r="S6" s="166" t="str">
        <f>IF(N6="","",VLOOKUP(N6,'CURSOS 2025'!$A$3:$B$199,2,FALSE))</f>
        <v/>
      </c>
      <c r="T6" s="166"/>
    </row>
    <row r="7" spans="1:20" s="181" customFormat="1" ht="30" customHeight="1" thickBot="1" x14ac:dyDescent="0.35">
      <c r="A7" s="168">
        <v>317</v>
      </c>
      <c r="B7" s="169" t="s">
        <v>1870</v>
      </c>
      <c r="C7" s="170" t="s">
        <v>85</v>
      </c>
      <c r="D7" s="171" t="s">
        <v>2095</v>
      </c>
      <c r="E7" s="194" t="s">
        <v>1872</v>
      </c>
      <c r="F7" s="173" t="s">
        <v>87</v>
      </c>
      <c r="G7" s="174"/>
      <c r="H7" s="175"/>
      <c r="I7" s="174"/>
      <c r="J7" s="174"/>
      <c r="K7" s="175"/>
      <c r="L7" s="174"/>
      <c r="M7" s="176" t="str">
        <f>IF(N7="","",VLOOKUP(N7,'CURSOS 2025'!$A$3:$D$199,3,FALSE))</f>
        <v/>
      </c>
      <c r="N7" s="173"/>
      <c r="O7" s="177"/>
      <c r="P7" s="178"/>
      <c r="Q7" s="176" t="str">
        <f>IF(N7="","",VLOOKUP(N7,'CURSOS 2025'!$A$3:$D$199,4,FALSE))</f>
        <v/>
      </c>
      <c r="R7" s="179" t="s">
        <v>37</v>
      </c>
      <c r="S7" s="180" t="str">
        <f>IF(N7="","",VLOOKUP(N7,'CURSOS 2025'!$A$3:$B$199,2,FALSE))</f>
        <v/>
      </c>
      <c r="T7" s="180"/>
    </row>
    <row r="8" spans="1:20" s="181" customFormat="1" ht="30" customHeight="1" thickBot="1" x14ac:dyDescent="0.35">
      <c r="A8" s="168">
        <v>317</v>
      </c>
      <c r="B8" s="169" t="s">
        <v>1870</v>
      </c>
      <c r="C8" s="170" t="s">
        <v>82</v>
      </c>
      <c r="D8" s="171" t="s">
        <v>1873</v>
      </c>
      <c r="E8" s="194" t="s">
        <v>1872</v>
      </c>
      <c r="F8" s="173" t="s">
        <v>84</v>
      </c>
      <c r="G8" s="174"/>
      <c r="H8" s="175"/>
      <c r="I8" s="174"/>
      <c r="J8" s="174"/>
      <c r="K8" s="175"/>
      <c r="L8" s="174"/>
      <c r="M8" s="176" t="str">
        <f>IF(N8="","",VLOOKUP(N8,'CURSOS 2025'!$A$3:$D$199,3,FALSE))</f>
        <v/>
      </c>
      <c r="N8" s="173"/>
      <c r="O8" s="177"/>
      <c r="P8" s="178"/>
      <c r="Q8" s="176" t="str">
        <f>IF(N8="","",VLOOKUP(N8,'CURSOS 2025'!$A$3:$D$199,4,FALSE))</f>
        <v/>
      </c>
      <c r="R8" s="179" t="s">
        <v>2087</v>
      </c>
      <c r="S8" s="180" t="str">
        <f>IF(N8="","",VLOOKUP(N8,'CURSOS 2025'!$A$3:$B$199,2,FALSE))</f>
        <v/>
      </c>
      <c r="T8" s="180"/>
    </row>
    <row r="9" spans="1:20" s="181" customFormat="1" ht="30" customHeight="1" thickBot="1" x14ac:dyDescent="0.35">
      <c r="A9" s="168">
        <v>317</v>
      </c>
      <c r="B9" s="169" t="s">
        <v>2096</v>
      </c>
      <c r="C9" s="170" t="s">
        <v>2097</v>
      </c>
      <c r="D9" s="171" t="s">
        <v>2098</v>
      </c>
      <c r="E9" s="194" t="s">
        <v>1872</v>
      </c>
      <c r="F9" s="173" t="s">
        <v>2099</v>
      </c>
      <c r="G9" s="174"/>
      <c r="H9" s="175"/>
      <c r="I9" s="174"/>
      <c r="J9" s="174"/>
      <c r="K9" s="175"/>
      <c r="L9" s="174"/>
      <c r="M9" s="176" t="str">
        <f>IF(N9="","",VLOOKUP(N9,'CURSOS 2025'!$A$3:$D$199,3,FALSE))</f>
        <v/>
      </c>
      <c r="N9" s="173"/>
      <c r="O9" s="177"/>
      <c r="P9" s="178"/>
      <c r="Q9" s="176" t="str">
        <f>IF(N9="","",VLOOKUP(N9,'CURSOS 2025'!$A$3:$D$199,4,FALSE))</f>
        <v/>
      </c>
      <c r="R9" s="179" t="s">
        <v>2087</v>
      </c>
      <c r="S9" s="180" t="str">
        <f>IF(N9="","",VLOOKUP(N9,'CURSOS 2025'!$A$3:$B$199,2,FALSE))</f>
        <v/>
      </c>
      <c r="T9" s="180"/>
    </row>
    <row r="10" spans="1:20" s="167" customFormat="1" ht="26.25" customHeight="1" thickBot="1" x14ac:dyDescent="0.35">
      <c r="A10" s="182">
        <v>234</v>
      </c>
      <c r="B10" s="183" t="s">
        <v>38</v>
      </c>
      <c r="C10" s="184">
        <v>206250</v>
      </c>
      <c r="D10" s="185" t="s">
        <v>2100</v>
      </c>
      <c r="E10" s="193" t="s">
        <v>143</v>
      </c>
      <c r="F10" s="187" t="s">
        <v>2101</v>
      </c>
      <c r="G10" s="188"/>
      <c r="H10" s="189"/>
      <c r="I10" s="188"/>
      <c r="J10" s="188"/>
      <c r="K10" s="189"/>
      <c r="L10" s="188"/>
      <c r="M10" s="162" t="str">
        <f>IF(N10="","",VLOOKUP(N10,'CURSOS 2025'!$A$3:$D$199,3,FALSE))</f>
        <v/>
      </c>
      <c r="N10" s="187"/>
      <c r="O10" s="190"/>
      <c r="P10" s="191"/>
      <c r="Q10" s="162" t="str">
        <f>IF(N10="","",VLOOKUP(N10,'CURSOS 2025'!$A$3:$D$199,4,FALSE))</f>
        <v/>
      </c>
      <c r="R10" s="192" t="s">
        <v>2087</v>
      </c>
      <c r="S10" s="166" t="str">
        <f>IF(N10="","",VLOOKUP(N10,'CURSOS 2025'!$A$3:$B$199,2,FALSE))</f>
        <v/>
      </c>
      <c r="T10" s="166"/>
    </row>
    <row r="11" spans="1:20" s="167" customFormat="1" ht="30" customHeight="1" thickBot="1" x14ac:dyDescent="0.35">
      <c r="A11" s="182">
        <v>234</v>
      </c>
      <c r="B11" s="183" t="s">
        <v>2102</v>
      </c>
      <c r="C11" s="184">
        <v>1671</v>
      </c>
      <c r="D11" s="185" t="s">
        <v>2103</v>
      </c>
      <c r="E11" s="193" t="s">
        <v>143</v>
      </c>
      <c r="F11" s="187" t="s">
        <v>2104</v>
      </c>
      <c r="G11" s="188"/>
      <c r="H11" s="189"/>
      <c r="I11" s="188"/>
      <c r="J11" s="188"/>
      <c r="K11" s="189"/>
      <c r="L11" s="188"/>
      <c r="M11" s="162" t="str">
        <f>IF(N11="","",VLOOKUP(N11,'CURSOS 2025'!$A$3:$D$199,3,FALSE))</f>
        <v/>
      </c>
      <c r="N11" s="187"/>
      <c r="O11" s="190"/>
      <c r="P11" s="191"/>
      <c r="Q11" s="162" t="str">
        <f>IF(N11="","",VLOOKUP(N11,'CURSOS 2025'!$A$3:$D$199,4,FALSE))</f>
        <v/>
      </c>
      <c r="R11" s="192" t="s">
        <v>37</v>
      </c>
      <c r="S11" s="166" t="str">
        <f>IF(N11="","",VLOOKUP(N11,'CURSOS 2025'!$A$3:$B$199,2,FALSE))</f>
        <v/>
      </c>
      <c r="T11" s="166"/>
    </row>
    <row r="12" spans="1:20" s="181" customFormat="1" ht="30" customHeight="1" thickBot="1" x14ac:dyDescent="0.35">
      <c r="A12" s="168">
        <v>615</v>
      </c>
      <c r="B12" s="169" t="s">
        <v>2096</v>
      </c>
      <c r="C12" s="170" t="s">
        <v>216</v>
      </c>
      <c r="D12" s="171" t="s">
        <v>2105</v>
      </c>
      <c r="E12" s="194" t="s">
        <v>175</v>
      </c>
      <c r="F12" s="173" t="s">
        <v>218</v>
      </c>
      <c r="G12" s="174"/>
      <c r="H12" s="175"/>
      <c r="I12" s="174"/>
      <c r="J12" s="174"/>
      <c r="K12" s="175"/>
      <c r="L12" s="174"/>
      <c r="M12" s="176" t="str">
        <f>IF(N12="","",VLOOKUP(N12,'CURSOS 2025'!$A$3:$D$199,3,FALSE))</f>
        <v/>
      </c>
      <c r="N12" s="173"/>
      <c r="O12" s="177"/>
      <c r="P12" s="178"/>
      <c r="Q12" s="176" t="str">
        <f>IF(N12="","",VLOOKUP(N12,'CURSOS 2025'!$A$3:$D$199,4,FALSE))</f>
        <v/>
      </c>
      <c r="R12" s="179" t="s">
        <v>2087</v>
      </c>
      <c r="S12" s="180" t="str">
        <f>IF(N12="","",VLOOKUP(N12,'CURSOS 2025'!$A$3:$B$199,2,FALSE))</f>
        <v/>
      </c>
      <c r="T12" s="180"/>
    </row>
    <row r="13" spans="1:20" s="167" customFormat="1" ht="30" customHeight="1" thickBot="1" x14ac:dyDescent="0.35">
      <c r="A13" s="182">
        <v>247</v>
      </c>
      <c r="B13" s="183" t="s">
        <v>286</v>
      </c>
      <c r="C13" s="184">
        <v>5933</v>
      </c>
      <c r="D13" s="185" t="s">
        <v>287</v>
      </c>
      <c r="E13" s="193" t="s">
        <v>2106</v>
      </c>
      <c r="F13" s="187" t="s">
        <v>288</v>
      </c>
      <c r="G13" s="188"/>
      <c r="H13" s="189"/>
      <c r="I13" s="188"/>
      <c r="J13" s="188"/>
      <c r="K13" s="189"/>
      <c r="L13" s="188"/>
      <c r="M13" s="162" t="str">
        <f>IF(N13="","",VLOOKUP(N13,'CURSOS 2025'!$A$3:$D$199,3,FALSE))</f>
        <v/>
      </c>
      <c r="N13" s="187"/>
      <c r="O13" s="190"/>
      <c r="P13" s="191"/>
      <c r="Q13" s="162" t="str">
        <f>IF(N13="","",VLOOKUP(N13,'CURSOS 2025'!$A$3:$D$199,4,FALSE))</f>
        <v/>
      </c>
      <c r="R13" s="192" t="s">
        <v>37</v>
      </c>
      <c r="S13" s="166" t="str">
        <f>IF(N13="","",VLOOKUP(N13,'CURSOS 2025'!$A$3:$B$199,2,FALSE))</f>
        <v/>
      </c>
      <c r="T13" s="166"/>
    </row>
    <row r="14" spans="1:20" s="167" customFormat="1" ht="30" customHeight="1" thickBot="1" x14ac:dyDescent="0.35">
      <c r="A14" s="182">
        <v>247</v>
      </c>
      <c r="B14" s="183" t="s">
        <v>45</v>
      </c>
      <c r="C14" s="184">
        <v>555</v>
      </c>
      <c r="D14" s="185" t="s">
        <v>2107</v>
      </c>
      <c r="E14" s="193" t="s">
        <v>2106</v>
      </c>
      <c r="F14" s="187" t="s">
        <v>2108</v>
      </c>
      <c r="G14" s="188"/>
      <c r="H14" s="189"/>
      <c r="I14" s="188"/>
      <c r="J14" s="188"/>
      <c r="K14" s="189"/>
      <c r="L14" s="188"/>
      <c r="M14" s="162" t="str">
        <f>IF(N14="","",VLOOKUP(N14,'CURSOS 2025'!$A$3:$D$199,3,FALSE))</f>
        <v/>
      </c>
      <c r="N14" s="187"/>
      <c r="O14" s="190"/>
      <c r="P14" s="191"/>
      <c r="Q14" s="162" t="str">
        <f>IF(N14="","",VLOOKUP(N14,'CURSOS 2025'!$A$3:$D$199,4,FALSE))</f>
        <v/>
      </c>
      <c r="R14" s="192" t="s">
        <v>2087</v>
      </c>
      <c r="S14" s="166" t="str">
        <f>IF(N14="","",VLOOKUP(N14,'CURSOS 2025'!$A$3:$B$199,2,FALSE))</f>
        <v/>
      </c>
      <c r="T14" s="166"/>
    </row>
    <row r="15" spans="1:20" s="167" customFormat="1" ht="30" customHeight="1" thickBot="1" x14ac:dyDescent="0.35">
      <c r="A15" s="182">
        <v>247</v>
      </c>
      <c r="B15" s="183" t="s">
        <v>45</v>
      </c>
      <c r="C15" s="184">
        <v>6118</v>
      </c>
      <c r="D15" s="185" t="s">
        <v>2109</v>
      </c>
      <c r="E15" s="193" t="s">
        <v>2110</v>
      </c>
      <c r="F15" s="187" t="s">
        <v>2111</v>
      </c>
      <c r="G15" s="188"/>
      <c r="H15" s="189"/>
      <c r="I15" s="188"/>
      <c r="J15" s="188"/>
      <c r="K15" s="189"/>
      <c r="L15" s="188"/>
      <c r="M15" s="162" t="str">
        <f>IF(N15="","",VLOOKUP(N15,'CURSOS 2025'!$A$3:$D$199,3,FALSE))</f>
        <v/>
      </c>
      <c r="N15" s="187"/>
      <c r="O15" s="190"/>
      <c r="P15" s="191"/>
      <c r="Q15" s="162" t="str">
        <f>IF(N15="","",VLOOKUP(N15,'CURSOS 2025'!$A$3:$D$199,4,FALSE))</f>
        <v/>
      </c>
      <c r="R15" s="192" t="s">
        <v>37</v>
      </c>
      <c r="S15" s="166" t="str">
        <f>IF(N15="","",VLOOKUP(N15,'CURSOS 2025'!$A$3:$B$199,2,FALSE))</f>
        <v/>
      </c>
      <c r="T15" s="166"/>
    </row>
    <row r="16" spans="1:20" s="167" customFormat="1" ht="30" customHeight="1" thickBot="1" x14ac:dyDescent="0.35">
      <c r="A16" s="182">
        <v>247</v>
      </c>
      <c r="B16" s="183" t="s">
        <v>2112</v>
      </c>
      <c r="C16" s="184" t="s">
        <v>2113</v>
      </c>
      <c r="D16" s="185" t="s">
        <v>292</v>
      </c>
      <c r="E16" s="193" t="s">
        <v>2114</v>
      </c>
      <c r="F16" s="187" t="s">
        <v>293</v>
      </c>
      <c r="G16" s="188"/>
      <c r="H16" s="189"/>
      <c r="I16" s="188"/>
      <c r="J16" s="188"/>
      <c r="K16" s="189"/>
      <c r="L16" s="188"/>
      <c r="M16" s="162" t="str">
        <f>IF(N16="","",VLOOKUP(N16,'CURSOS 2025'!$A$3:$D$199,3,FALSE))</f>
        <v/>
      </c>
      <c r="N16" s="187"/>
      <c r="O16" s="190"/>
      <c r="P16" s="191"/>
      <c r="Q16" s="162" t="str">
        <f>IF(N16="","",VLOOKUP(N16,'CURSOS 2025'!$A$3:$D$199,4,FALSE))</f>
        <v/>
      </c>
      <c r="R16" s="192" t="s">
        <v>2087</v>
      </c>
      <c r="S16" s="166" t="str">
        <f>IF(N16="","",VLOOKUP(N16,'CURSOS 2025'!$A$3:$B$199,2,FALSE))</f>
        <v/>
      </c>
      <c r="T16" s="166"/>
    </row>
    <row r="17" spans="1:20" s="167" customFormat="1" ht="30" customHeight="1" thickBot="1" x14ac:dyDescent="0.35">
      <c r="A17" s="182">
        <v>247</v>
      </c>
      <c r="B17" s="183" t="s">
        <v>45</v>
      </c>
      <c r="C17" s="184">
        <v>5953</v>
      </c>
      <c r="D17" s="185" t="s">
        <v>2115</v>
      </c>
      <c r="E17" s="193" t="s">
        <v>2110</v>
      </c>
      <c r="F17" s="187" t="s">
        <v>2116</v>
      </c>
      <c r="G17" s="188"/>
      <c r="H17" s="189"/>
      <c r="I17" s="188"/>
      <c r="J17" s="188"/>
      <c r="K17" s="189"/>
      <c r="L17" s="188"/>
      <c r="M17" s="162" t="str">
        <f>IF(N17="","",VLOOKUP(N17,'CURSOS 2025'!$A$3:$D$199,3,FALSE))</f>
        <v/>
      </c>
      <c r="N17" s="187"/>
      <c r="O17" s="190"/>
      <c r="P17" s="191"/>
      <c r="Q17" s="162" t="str">
        <f>IF(N17="","",VLOOKUP(N17,'CURSOS 2025'!$A$3:$D$199,4,FALSE))</f>
        <v/>
      </c>
      <c r="R17" s="192" t="s">
        <v>37</v>
      </c>
      <c r="S17" s="166" t="str">
        <f>IF(N17="","",VLOOKUP(N17,'CURSOS 2025'!$A$3:$B$199,2,FALSE))</f>
        <v/>
      </c>
      <c r="T17" s="166"/>
    </row>
    <row r="18" spans="1:20" s="167" customFormat="1" ht="30" customHeight="1" thickBot="1" x14ac:dyDescent="0.35">
      <c r="A18" s="182">
        <v>248</v>
      </c>
      <c r="B18" s="183" t="s">
        <v>256</v>
      </c>
      <c r="C18" s="184">
        <v>206101</v>
      </c>
      <c r="D18" s="185" t="s">
        <v>2117</v>
      </c>
      <c r="E18" s="193" t="s">
        <v>2118</v>
      </c>
      <c r="F18" s="187" t="s">
        <v>2119</v>
      </c>
      <c r="G18" s="188"/>
      <c r="H18" s="189"/>
      <c r="I18" s="188"/>
      <c r="J18" s="188"/>
      <c r="K18" s="189"/>
      <c r="L18" s="188"/>
      <c r="M18" s="162" t="str">
        <f>IF(N18="","",VLOOKUP(N18,'CURSOS 2025'!$A$3:$D$199,3,FALSE))</f>
        <v/>
      </c>
      <c r="N18" s="187"/>
      <c r="O18" s="190"/>
      <c r="P18" s="191"/>
      <c r="Q18" s="162" t="str">
        <f>IF(N18="","",VLOOKUP(N18,'CURSOS 2025'!$A$3:$D$199,4,FALSE))</f>
        <v/>
      </c>
      <c r="R18" s="192" t="s">
        <v>2087</v>
      </c>
      <c r="S18" s="166" t="str">
        <f>IF(N18="","",VLOOKUP(N18,'CURSOS 2025'!$A$3:$B$199,2,FALSE))</f>
        <v/>
      </c>
      <c r="T18" s="166"/>
    </row>
    <row r="19" spans="1:20" s="167" customFormat="1" ht="30" customHeight="1" thickBot="1" x14ac:dyDescent="0.35">
      <c r="A19" s="182">
        <v>248</v>
      </c>
      <c r="B19" s="183" t="s">
        <v>256</v>
      </c>
      <c r="C19" s="184">
        <v>20891</v>
      </c>
      <c r="D19" s="185" t="s">
        <v>2120</v>
      </c>
      <c r="E19" s="193" t="s">
        <v>2118</v>
      </c>
      <c r="F19" s="187" t="s">
        <v>2121</v>
      </c>
      <c r="G19" s="188"/>
      <c r="H19" s="189"/>
      <c r="I19" s="188"/>
      <c r="J19" s="188"/>
      <c r="K19" s="189"/>
      <c r="L19" s="188"/>
      <c r="M19" s="162" t="str">
        <f>IF(N19="","",VLOOKUP(N19,'CURSOS 2025'!$A$3:$D$199,3,FALSE))</f>
        <v/>
      </c>
      <c r="N19" s="187"/>
      <c r="O19" s="190"/>
      <c r="P19" s="191"/>
      <c r="Q19" s="162" t="str">
        <f>IF(N19="","",VLOOKUP(N19,'CURSOS 2025'!$A$3:$D$199,4,FALSE))</f>
        <v/>
      </c>
      <c r="R19" s="192" t="s">
        <v>2087</v>
      </c>
      <c r="S19" s="166" t="str">
        <f>IF(N19="","",VLOOKUP(N19,'CURSOS 2025'!$A$3:$B$199,2,FALSE))</f>
        <v/>
      </c>
      <c r="T19" s="166"/>
    </row>
    <row r="20" spans="1:20" s="167" customFormat="1" ht="30" customHeight="1" thickBot="1" x14ac:dyDescent="0.35">
      <c r="A20" s="182">
        <v>248</v>
      </c>
      <c r="B20" s="183" t="s">
        <v>256</v>
      </c>
      <c r="C20" s="184" t="s">
        <v>2122</v>
      </c>
      <c r="D20" s="185" t="s">
        <v>2123</v>
      </c>
      <c r="E20" s="193" t="s">
        <v>2124</v>
      </c>
      <c r="F20" s="187"/>
      <c r="G20" s="188"/>
      <c r="H20" s="189"/>
      <c r="I20" s="188"/>
      <c r="J20" s="188"/>
      <c r="K20" s="189"/>
      <c r="L20" s="188"/>
      <c r="M20" s="162" t="str">
        <f>IF(N20="","",VLOOKUP(N20,'CURSOS 2025'!$A$3:$D$199,3,FALSE))</f>
        <v/>
      </c>
      <c r="N20" s="187"/>
      <c r="O20" s="190"/>
      <c r="P20" s="191"/>
      <c r="Q20" s="162" t="str">
        <f>IF(N20="","",VLOOKUP(N20,'CURSOS 2025'!$A$3:$D$199,4,FALSE))</f>
        <v/>
      </c>
      <c r="R20" s="192" t="s">
        <v>37</v>
      </c>
      <c r="S20" s="166" t="str">
        <f>IF(N20="","",VLOOKUP(N20,'CURSOS 2025'!$A$3:$B$199,2,FALSE))</f>
        <v/>
      </c>
      <c r="T20" s="166"/>
    </row>
    <row r="21" spans="1:20" s="167" customFormat="1" ht="30" customHeight="1" thickBot="1" x14ac:dyDescent="0.35">
      <c r="A21" s="182">
        <v>248</v>
      </c>
      <c r="B21" s="183" t="s">
        <v>291</v>
      </c>
      <c r="C21" s="184">
        <v>20344</v>
      </c>
      <c r="D21" s="185" t="s">
        <v>2125</v>
      </c>
      <c r="E21" s="193" t="s">
        <v>2126</v>
      </c>
      <c r="F21" s="187" t="s">
        <v>2127</v>
      </c>
      <c r="G21" s="188"/>
      <c r="H21" s="189"/>
      <c r="I21" s="188"/>
      <c r="J21" s="188"/>
      <c r="K21" s="189"/>
      <c r="L21" s="188"/>
      <c r="M21" s="162" t="str">
        <f>IF(N21="","",VLOOKUP(N21,'CURSOS 2025'!$A$3:$D$199,3,FALSE))</f>
        <v/>
      </c>
      <c r="N21" s="187"/>
      <c r="O21" s="190"/>
      <c r="P21" s="191"/>
      <c r="Q21" s="162" t="str">
        <f>IF(N21="","",VLOOKUP(N21,'CURSOS 2025'!$A$3:$D$199,4,FALSE))</f>
        <v/>
      </c>
      <c r="R21" s="192" t="s">
        <v>37</v>
      </c>
      <c r="S21" s="166" t="str">
        <f>IF(N21="","",VLOOKUP(N21,'CURSOS 2025'!$A$3:$B$199,2,FALSE))</f>
        <v/>
      </c>
      <c r="T21" s="166"/>
    </row>
    <row r="22" spans="1:20" s="167" customFormat="1" ht="30" customHeight="1" thickBot="1" x14ac:dyDescent="0.35">
      <c r="A22" s="182">
        <v>248</v>
      </c>
      <c r="B22" s="183" t="s">
        <v>294</v>
      </c>
      <c r="C22" s="184">
        <v>20214</v>
      </c>
      <c r="D22" s="185" t="s">
        <v>2128</v>
      </c>
      <c r="E22" s="193" t="s">
        <v>2126</v>
      </c>
      <c r="F22" s="187" t="s">
        <v>2129</v>
      </c>
      <c r="G22" s="188"/>
      <c r="H22" s="189"/>
      <c r="I22" s="188"/>
      <c r="J22" s="188"/>
      <c r="K22" s="189"/>
      <c r="L22" s="188"/>
      <c r="M22" s="162" t="str">
        <f>IF(N22="","",VLOOKUP(N22,'CURSOS 2025'!$A$3:$D$199,3,FALSE))</f>
        <v/>
      </c>
      <c r="N22" s="187"/>
      <c r="O22" s="190"/>
      <c r="P22" s="191"/>
      <c r="Q22" s="162" t="str">
        <f>IF(N22="","",VLOOKUP(N22,'CURSOS 2025'!$A$3:$D$199,4,FALSE))</f>
        <v/>
      </c>
      <c r="R22" s="192" t="s">
        <v>37</v>
      </c>
      <c r="S22" s="166" t="str">
        <f>IF(N22="","",VLOOKUP(N22,'CURSOS 2025'!$A$3:$B$199,2,FALSE))</f>
        <v/>
      </c>
      <c r="T22" s="166"/>
    </row>
    <row r="23" spans="1:20" s="167" customFormat="1" ht="30" customHeight="1" thickBot="1" x14ac:dyDescent="0.35">
      <c r="A23" s="182">
        <v>248</v>
      </c>
      <c r="B23" s="183" t="s">
        <v>256</v>
      </c>
      <c r="C23" s="184">
        <v>20812</v>
      </c>
      <c r="D23" s="171" t="s">
        <v>2130</v>
      </c>
      <c r="E23" s="193" t="s">
        <v>2131</v>
      </c>
      <c r="F23" s="187" t="s">
        <v>2132</v>
      </c>
      <c r="G23" s="188"/>
      <c r="H23" s="189"/>
      <c r="I23" s="188"/>
      <c r="J23" s="188"/>
      <c r="K23" s="189"/>
      <c r="L23" s="188"/>
      <c r="M23" s="162" t="str">
        <f>IF(N23="","",VLOOKUP(N23,'CURSOS 2025'!$A$3:$D$199,3,FALSE))</f>
        <v/>
      </c>
      <c r="N23" s="187"/>
      <c r="O23" s="190"/>
      <c r="P23" s="191"/>
      <c r="Q23" s="162" t="str">
        <f>IF(N23="","",VLOOKUP(N23,'CURSOS 2025'!$A$3:$D$199,4,FALSE))</f>
        <v/>
      </c>
      <c r="R23" s="192" t="s">
        <v>2087</v>
      </c>
      <c r="S23" s="166" t="str">
        <f>IF(N23="","",VLOOKUP(N23,'CURSOS 2025'!$A$3:$B$199,2,FALSE))</f>
        <v/>
      </c>
      <c r="T23" s="166"/>
    </row>
    <row r="24" spans="1:20" s="167" customFormat="1" ht="30" customHeight="1" thickBot="1" x14ac:dyDescent="0.35">
      <c r="A24" s="182">
        <v>227</v>
      </c>
      <c r="B24" s="183" t="s">
        <v>38</v>
      </c>
      <c r="C24" s="184">
        <v>206191</v>
      </c>
      <c r="D24" s="185" t="s">
        <v>2133</v>
      </c>
      <c r="E24" s="193" t="s">
        <v>504</v>
      </c>
      <c r="F24" s="187" t="s">
        <v>2134</v>
      </c>
      <c r="G24" s="188"/>
      <c r="H24" s="189"/>
      <c r="I24" s="188"/>
      <c r="J24" s="188"/>
      <c r="K24" s="189"/>
      <c r="L24" s="188"/>
      <c r="M24" s="162" t="str">
        <f>IF(N24="","",VLOOKUP(N24,'CURSOS 2025'!$A$3:$D$199,3,FALSE))</f>
        <v/>
      </c>
      <c r="N24" s="187"/>
      <c r="O24" s="190"/>
      <c r="P24" s="191"/>
      <c r="Q24" s="162" t="str">
        <f>IF(N24="","",VLOOKUP(N24,'CURSOS 2025'!$A$3:$D$199,4,FALSE))</f>
        <v/>
      </c>
      <c r="R24" s="192" t="s">
        <v>37</v>
      </c>
      <c r="S24" s="166" t="str">
        <f>IF(N24="","",VLOOKUP(N24,'CURSOS 2025'!$A$3:$B$199,2,FALSE))</f>
        <v/>
      </c>
      <c r="T24" s="166"/>
    </row>
    <row r="25" spans="1:20" s="167" customFormat="1" ht="30" customHeight="1" thickBot="1" x14ac:dyDescent="0.35">
      <c r="A25" s="182">
        <v>227</v>
      </c>
      <c r="B25" s="183" t="s">
        <v>530</v>
      </c>
      <c r="C25" s="184">
        <v>3910</v>
      </c>
      <c r="D25" s="185" t="s">
        <v>2135</v>
      </c>
      <c r="E25" s="193" t="s">
        <v>504</v>
      </c>
      <c r="F25" s="187" t="s">
        <v>2136</v>
      </c>
      <c r="G25" s="188"/>
      <c r="H25" s="189"/>
      <c r="I25" s="188"/>
      <c r="J25" s="188"/>
      <c r="K25" s="189"/>
      <c r="L25" s="188"/>
      <c r="M25" s="162" t="str">
        <f>IF(N25="","",VLOOKUP(N25,'CURSOS 2025'!$A$3:$D$199,3,FALSE))</f>
        <v/>
      </c>
      <c r="N25" s="187"/>
      <c r="O25" s="190"/>
      <c r="P25" s="191"/>
      <c r="Q25" s="162" t="str">
        <f>IF(N25="","",VLOOKUP(N25,'CURSOS 2025'!$A$3:$D$199,4,FALSE))</f>
        <v/>
      </c>
      <c r="R25" s="192" t="s">
        <v>37</v>
      </c>
      <c r="S25" s="166" t="str">
        <f>IF(N25="","",VLOOKUP(N25,'CURSOS 2025'!$A$3:$B$199,2,FALSE))</f>
        <v/>
      </c>
      <c r="T25" s="166"/>
    </row>
    <row r="26" spans="1:20" s="167" customFormat="1" ht="30" customHeight="1" thickBot="1" x14ac:dyDescent="0.35">
      <c r="A26" s="182">
        <v>227</v>
      </c>
      <c r="B26" s="183" t="s">
        <v>553</v>
      </c>
      <c r="C26" s="184">
        <v>3652</v>
      </c>
      <c r="D26" s="185" t="s">
        <v>2137</v>
      </c>
      <c r="E26" s="193" t="s">
        <v>2138</v>
      </c>
      <c r="F26" s="187" t="s">
        <v>2139</v>
      </c>
      <c r="G26" s="188"/>
      <c r="H26" s="189"/>
      <c r="I26" s="188"/>
      <c r="J26" s="188"/>
      <c r="K26" s="189"/>
      <c r="L26" s="188"/>
      <c r="M26" s="162" t="str">
        <f>IF(N26="","",VLOOKUP(N26,'CURSOS 2025'!$A$3:$D$199,3,FALSE))</f>
        <v/>
      </c>
      <c r="N26" s="187"/>
      <c r="O26" s="190"/>
      <c r="P26" s="191"/>
      <c r="Q26" s="162" t="str">
        <f>IF(N26="","",VLOOKUP(N26,'CURSOS 2025'!$A$3:$D$199,4,FALSE))</f>
        <v/>
      </c>
      <c r="R26" s="192" t="s">
        <v>37</v>
      </c>
      <c r="S26" s="166" t="str">
        <f>IF(N26="","",VLOOKUP(N26,'CURSOS 2025'!$A$3:$B$199,2,FALSE))</f>
        <v/>
      </c>
      <c r="T26" s="166"/>
    </row>
    <row r="27" spans="1:20" s="167" customFormat="1" ht="30" customHeight="1" thickBot="1" x14ac:dyDescent="0.35">
      <c r="A27" s="182">
        <v>233</v>
      </c>
      <c r="B27" s="183" t="s">
        <v>570</v>
      </c>
      <c r="C27" s="184">
        <v>1403</v>
      </c>
      <c r="D27" s="185" t="s">
        <v>2140</v>
      </c>
      <c r="E27" s="193" t="s">
        <v>504</v>
      </c>
      <c r="F27" s="187" t="s">
        <v>2141</v>
      </c>
      <c r="G27" s="188"/>
      <c r="H27" s="189"/>
      <c r="I27" s="188"/>
      <c r="J27" s="188"/>
      <c r="K27" s="189"/>
      <c r="L27" s="188"/>
      <c r="M27" s="162" t="str">
        <f>IF(N27="","",VLOOKUP(N27,'CURSOS 2025'!$A$3:$D$199,3,FALSE))</f>
        <v/>
      </c>
      <c r="N27" s="187"/>
      <c r="O27" s="190"/>
      <c r="P27" s="191"/>
      <c r="Q27" s="162" t="str">
        <f>IF(N27="","",VLOOKUP(N27,'CURSOS 2025'!$A$3:$D$199,4,FALSE))</f>
        <v/>
      </c>
      <c r="R27" s="192" t="s">
        <v>37</v>
      </c>
      <c r="S27" s="166" t="str">
        <f>IF(N27="","",VLOOKUP(N27,'CURSOS 2025'!$A$3:$B$199,2,FALSE))</f>
        <v/>
      </c>
      <c r="T27" s="166"/>
    </row>
    <row r="28" spans="1:20" s="167" customFormat="1" ht="30" customHeight="1" thickBot="1" x14ac:dyDescent="0.35">
      <c r="A28" s="182">
        <v>233</v>
      </c>
      <c r="B28" s="183" t="s">
        <v>570</v>
      </c>
      <c r="C28" s="184">
        <v>20325</v>
      </c>
      <c r="D28" s="185" t="s">
        <v>2142</v>
      </c>
      <c r="E28" s="193" t="s">
        <v>2143</v>
      </c>
      <c r="F28" s="187" t="s">
        <v>2144</v>
      </c>
      <c r="G28" s="188"/>
      <c r="H28" s="189"/>
      <c r="I28" s="188"/>
      <c r="J28" s="188"/>
      <c r="K28" s="189"/>
      <c r="L28" s="188"/>
      <c r="M28" s="162" t="str">
        <f>IF(N28="","",VLOOKUP(N28,'CURSOS 2025'!$A$3:$D$199,3,FALSE))</f>
        <v/>
      </c>
      <c r="N28" s="187"/>
      <c r="O28" s="190"/>
      <c r="P28" s="191"/>
      <c r="Q28" s="162" t="str">
        <f>IF(N28="","",VLOOKUP(N28,'CURSOS 2025'!$A$3:$D$199,4,FALSE))</f>
        <v/>
      </c>
      <c r="R28" s="192" t="s">
        <v>37</v>
      </c>
      <c r="S28" s="166" t="str">
        <f>IF(N28="","",VLOOKUP(N28,'CURSOS 2025'!$A$3:$B$199,2,FALSE))</f>
        <v/>
      </c>
      <c r="T28" s="166"/>
    </row>
    <row r="29" spans="1:20" s="167" customFormat="1" ht="30" customHeight="1" thickBot="1" x14ac:dyDescent="0.35">
      <c r="A29" s="182">
        <v>228</v>
      </c>
      <c r="B29" s="183" t="s">
        <v>2145</v>
      </c>
      <c r="C29" s="184">
        <v>20876</v>
      </c>
      <c r="D29" s="185" t="s">
        <v>2146</v>
      </c>
      <c r="E29" s="193" t="s">
        <v>577</v>
      </c>
      <c r="F29" s="187" t="s">
        <v>2147</v>
      </c>
      <c r="G29" s="188"/>
      <c r="H29" s="189"/>
      <c r="I29" s="188"/>
      <c r="J29" s="188"/>
      <c r="K29" s="189"/>
      <c r="L29" s="188"/>
      <c r="M29" s="162" t="str">
        <f>IF(N29="","",VLOOKUP(N29,'CURSOS 2025'!$A$3:$D$199,3,FALSE))</f>
        <v/>
      </c>
      <c r="N29" s="187"/>
      <c r="O29" s="190"/>
      <c r="P29" s="191"/>
      <c r="Q29" s="162" t="str">
        <f>IF(N29="","",VLOOKUP(N29,'CURSOS 2025'!$A$3:$D$199,4,FALSE))</f>
        <v/>
      </c>
      <c r="R29" s="192" t="s">
        <v>37</v>
      </c>
      <c r="S29" s="166" t="str">
        <f>IF(N29="","",VLOOKUP(N29,'CURSOS 2025'!$A$3:$B$199,2,FALSE))</f>
        <v/>
      </c>
      <c r="T29" s="166"/>
    </row>
    <row r="30" spans="1:20" s="167" customFormat="1" ht="30" customHeight="1" thickBot="1" x14ac:dyDescent="0.35">
      <c r="A30" s="182">
        <v>228</v>
      </c>
      <c r="B30" s="183" t="s">
        <v>598</v>
      </c>
      <c r="C30" s="184">
        <v>1925</v>
      </c>
      <c r="D30" s="185" t="s">
        <v>2148</v>
      </c>
      <c r="E30" s="193" t="s">
        <v>2149</v>
      </c>
      <c r="F30" s="187" t="s">
        <v>2150</v>
      </c>
      <c r="G30" s="188"/>
      <c r="H30" s="189"/>
      <c r="I30" s="188"/>
      <c r="J30" s="188"/>
      <c r="K30" s="189"/>
      <c r="L30" s="188"/>
      <c r="M30" s="162" t="str">
        <f>IF(N30="","",VLOOKUP(N30,'CURSOS 2025'!$A$3:$D$199,3,FALSE))</f>
        <v/>
      </c>
      <c r="N30" s="187"/>
      <c r="O30" s="190"/>
      <c r="P30" s="191"/>
      <c r="Q30" s="162" t="str">
        <f>IF(N30="","",VLOOKUP(N30,'CURSOS 2025'!$A$3:$D$199,4,FALSE))</f>
        <v/>
      </c>
      <c r="R30" s="192" t="s">
        <v>37</v>
      </c>
      <c r="S30" s="166" t="str">
        <f>IF(N30="","",VLOOKUP(N30,'CURSOS 2025'!$A$3:$B$199,2,FALSE))</f>
        <v/>
      </c>
      <c r="T30" s="166"/>
    </row>
    <row r="31" spans="1:20" s="167" customFormat="1" ht="30" customHeight="1" thickBot="1" x14ac:dyDescent="0.35">
      <c r="A31" s="182">
        <v>228</v>
      </c>
      <c r="B31" s="183" t="s">
        <v>598</v>
      </c>
      <c r="C31" s="184">
        <v>1552</v>
      </c>
      <c r="D31" s="185" t="s">
        <v>2151</v>
      </c>
      <c r="E31" s="193" t="s">
        <v>2149</v>
      </c>
      <c r="F31" s="187" t="s">
        <v>2152</v>
      </c>
      <c r="G31" s="188"/>
      <c r="H31" s="189"/>
      <c r="I31" s="188"/>
      <c r="J31" s="188"/>
      <c r="K31" s="189"/>
      <c r="L31" s="188"/>
      <c r="M31" s="162" t="str">
        <f>IF(N31="","",VLOOKUP(N31,'CURSOS 2025'!$A$3:$D$199,3,FALSE))</f>
        <v/>
      </c>
      <c r="N31" s="187"/>
      <c r="O31" s="190"/>
      <c r="P31" s="191"/>
      <c r="Q31" s="162" t="str">
        <f>IF(N31="","",VLOOKUP(N31,'CURSOS 2025'!$A$3:$D$199,4,FALSE))</f>
        <v/>
      </c>
      <c r="R31" s="192" t="s">
        <v>37</v>
      </c>
      <c r="S31" s="166" t="str">
        <f>IF(N31="","",VLOOKUP(N31,'CURSOS 2025'!$A$3:$B$199,2,FALSE))</f>
        <v/>
      </c>
      <c r="T31" s="166"/>
    </row>
    <row r="32" spans="1:20" s="167" customFormat="1" ht="30" customHeight="1" thickBot="1" x14ac:dyDescent="0.35">
      <c r="A32" s="182">
        <v>228</v>
      </c>
      <c r="B32" s="183" t="s">
        <v>619</v>
      </c>
      <c r="C32" s="184">
        <v>3548</v>
      </c>
      <c r="D32" s="185" t="s">
        <v>2153</v>
      </c>
      <c r="E32" s="193" t="s">
        <v>2149</v>
      </c>
      <c r="F32" s="187" t="s">
        <v>2154</v>
      </c>
      <c r="G32" s="188"/>
      <c r="H32" s="189"/>
      <c r="I32" s="188"/>
      <c r="J32" s="188"/>
      <c r="K32" s="189"/>
      <c r="L32" s="188"/>
      <c r="M32" s="162" t="str">
        <f>IF(N32="","",VLOOKUP(N32,'CURSOS 2025'!$A$3:$D$199,3,FALSE))</f>
        <v/>
      </c>
      <c r="N32" s="187"/>
      <c r="O32" s="190"/>
      <c r="P32" s="191"/>
      <c r="Q32" s="162" t="str">
        <f>IF(N32="","",VLOOKUP(N32,'CURSOS 2025'!$A$3:$D$199,4,FALSE))</f>
        <v/>
      </c>
      <c r="R32" s="192" t="s">
        <v>37</v>
      </c>
      <c r="S32" s="166" t="str">
        <f>IF(N32="","",VLOOKUP(N32,'CURSOS 2025'!$A$3:$B$199,2,FALSE))</f>
        <v/>
      </c>
      <c r="T32" s="166"/>
    </row>
    <row r="33" spans="1:20" s="167" customFormat="1" ht="30" customHeight="1" thickBot="1" x14ac:dyDescent="0.35">
      <c r="A33" s="182">
        <v>228</v>
      </c>
      <c r="B33" s="183" t="s">
        <v>619</v>
      </c>
      <c r="C33" s="184">
        <v>3678</v>
      </c>
      <c r="D33" s="185" t="s">
        <v>2155</v>
      </c>
      <c r="E33" s="193" t="s">
        <v>2149</v>
      </c>
      <c r="F33" s="187" t="s">
        <v>2156</v>
      </c>
      <c r="G33" s="188"/>
      <c r="H33" s="189"/>
      <c r="I33" s="188"/>
      <c r="J33" s="188"/>
      <c r="K33" s="189"/>
      <c r="L33" s="188"/>
      <c r="M33" s="162" t="str">
        <f>IF(N33="","",VLOOKUP(N33,'CURSOS 2025'!$A$3:$D$199,3,FALSE))</f>
        <v/>
      </c>
      <c r="N33" s="187"/>
      <c r="O33" s="190"/>
      <c r="P33" s="191"/>
      <c r="Q33" s="162" t="str">
        <f>IF(N33="","",VLOOKUP(N33,'CURSOS 2025'!$A$3:$D$199,4,FALSE))</f>
        <v/>
      </c>
      <c r="R33" s="192" t="s">
        <v>37</v>
      </c>
      <c r="S33" s="166" t="str">
        <f>IF(N33="","",VLOOKUP(N33,'CURSOS 2025'!$A$3:$B$199,2,FALSE))</f>
        <v/>
      </c>
      <c r="T33" s="166"/>
    </row>
    <row r="34" spans="1:20" s="167" customFormat="1" ht="30" customHeight="1" thickBot="1" x14ac:dyDescent="0.35">
      <c r="A34" s="182">
        <v>228</v>
      </c>
      <c r="B34" s="183" t="s">
        <v>141</v>
      </c>
      <c r="C34" s="184">
        <v>1331</v>
      </c>
      <c r="D34" s="185" t="s">
        <v>2157</v>
      </c>
      <c r="E34" s="193" t="s">
        <v>2158</v>
      </c>
      <c r="F34" s="187" t="s">
        <v>2159</v>
      </c>
      <c r="G34" s="188"/>
      <c r="H34" s="189"/>
      <c r="I34" s="188"/>
      <c r="J34" s="188"/>
      <c r="K34" s="189"/>
      <c r="L34" s="188"/>
      <c r="M34" s="162" t="str">
        <f>IF(N34="","",VLOOKUP(N34,'CURSOS 2025'!$A$3:$D$199,3,FALSE))</f>
        <v/>
      </c>
      <c r="N34" s="187"/>
      <c r="O34" s="190"/>
      <c r="P34" s="191"/>
      <c r="Q34" s="162" t="str">
        <f>IF(N34="","",VLOOKUP(N34,'CURSOS 2025'!$A$3:$D$199,4,FALSE))</f>
        <v/>
      </c>
      <c r="R34" s="192" t="s">
        <v>37</v>
      </c>
      <c r="S34" s="166" t="str">
        <f>IF(N34="","",VLOOKUP(N34,'CURSOS 2025'!$A$3:$B$199,2,FALSE))</f>
        <v/>
      </c>
      <c r="T34" s="166"/>
    </row>
    <row r="35" spans="1:20" s="167" customFormat="1" ht="30" customHeight="1" thickBot="1" x14ac:dyDescent="0.35">
      <c r="A35" s="182">
        <v>228</v>
      </c>
      <c r="B35" s="183" t="s">
        <v>610</v>
      </c>
      <c r="C35" s="184">
        <v>3776</v>
      </c>
      <c r="D35" s="185" t="s">
        <v>2160</v>
      </c>
      <c r="E35" s="193" t="s">
        <v>2158</v>
      </c>
      <c r="F35" s="187" t="s">
        <v>2161</v>
      </c>
      <c r="G35" s="188"/>
      <c r="H35" s="189"/>
      <c r="I35" s="188"/>
      <c r="J35" s="188"/>
      <c r="K35" s="189"/>
      <c r="L35" s="188"/>
      <c r="M35" s="162" t="str">
        <f>IF(N35="","",VLOOKUP(N35,'CURSOS 2025'!$A$3:$D$199,3,FALSE))</f>
        <v/>
      </c>
      <c r="N35" s="187"/>
      <c r="O35" s="190"/>
      <c r="P35" s="191"/>
      <c r="Q35" s="162" t="str">
        <f>IF(N35="","",VLOOKUP(N35,'CURSOS 2025'!$A$3:$D$199,4,FALSE))</f>
        <v/>
      </c>
      <c r="R35" s="192" t="s">
        <v>37</v>
      </c>
      <c r="S35" s="166" t="str">
        <f>IF(N35="","",VLOOKUP(N35,'CURSOS 2025'!$A$3:$B$199,2,FALSE))</f>
        <v/>
      </c>
      <c r="T35" s="166"/>
    </row>
    <row r="36" spans="1:20" s="167" customFormat="1" ht="30" customHeight="1" thickBot="1" x14ac:dyDescent="0.35">
      <c r="A36" s="182">
        <v>228</v>
      </c>
      <c r="B36" s="183" t="s">
        <v>622</v>
      </c>
      <c r="C36" s="184">
        <v>3504</v>
      </c>
      <c r="D36" s="185" t="s">
        <v>2162</v>
      </c>
      <c r="E36" s="193" t="s">
        <v>2158</v>
      </c>
      <c r="F36" s="187" t="s">
        <v>2163</v>
      </c>
      <c r="G36" s="188"/>
      <c r="H36" s="189"/>
      <c r="I36" s="188"/>
      <c r="J36" s="188"/>
      <c r="K36" s="189"/>
      <c r="L36" s="188"/>
      <c r="M36" s="162" t="str">
        <f>IF(N36="","",VLOOKUP(N36,'CURSOS 2025'!$A$3:$D$199,3,FALSE))</f>
        <v/>
      </c>
      <c r="N36" s="187"/>
      <c r="O36" s="190"/>
      <c r="P36" s="191"/>
      <c r="Q36" s="162" t="str">
        <f>IF(N36="","",VLOOKUP(N36,'CURSOS 2025'!$A$3:$D$199,4,FALSE))</f>
        <v/>
      </c>
      <c r="R36" s="192" t="s">
        <v>37</v>
      </c>
      <c r="S36" s="166" t="str">
        <f>IF(N36="","",VLOOKUP(N36,'CURSOS 2025'!$A$3:$B$199,2,FALSE))</f>
        <v/>
      </c>
      <c r="T36" s="166"/>
    </row>
    <row r="37" spans="1:20" s="167" customFormat="1" ht="30" customHeight="1" thickBot="1" x14ac:dyDescent="0.35">
      <c r="A37" s="182">
        <v>228</v>
      </c>
      <c r="B37" s="183" t="s">
        <v>2164</v>
      </c>
      <c r="C37" s="184">
        <v>1877</v>
      </c>
      <c r="D37" s="185" t="s">
        <v>2165</v>
      </c>
      <c r="E37" s="193" t="s">
        <v>2158</v>
      </c>
      <c r="F37" s="187" t="s">
        <v>2166</v>
      </c>
      <c r="G37" s="188"/>
      <c r="H37" s="189"/>
      <c r="I37" s="188"/>
      <c r="J37" s="188"/>
      <c r="K37" s="189"/>
      <c r="L37" s="188"/>
      <c r="M37" s="162" t="str">
        <f>IF(N37="","",VLOOKUP(N37,'CURSOS 2025'!$A$3:$D$199,3,FALSE))</f>
        <v/>
      </c>
      <c r="N37" s="187"/>
      <c r="O37" s="190"/>
      <c r="P37" s="190"/>
      <c r="Q37" s="162" t="str">
        <f>IF(N37="","",VLOOKUP(N37,'CURSOS 2025'!$A$3:$D$199,4,FALSE))</f>
        <v/>
      </c>
      <c r="R37" s="192" t="s">
        <v>37</v>
      </c>
      <c r="S37" s="166" t="str">
        <f>IF(N37="","",VLOOKUP(N37,'CURSOS 2025'!$A$3:$B$199,2,FALSE))</f>
        <v/>
      </c>
      <c r="T37" s="166"/>
    </row>
    <row r="38" spans="1:20" s="167" customFormat="1" ht="30" customHeight="1" thickBot="1" x14ac:dyDescent="0.35">
      <c r="A38" s="182">
        <v>228</v>
      </c>
      <c r="B38" s="183" t="s">
        <v>619</v>
      </c>
      <c r="C38" s="184">
        <v>3627</v>
      </c>
      <c r="D38" s="185" t="s">
        <v>2167</v>
      </c>
      <c r="E38" s="193" t="s">
        <v>2158</v>
      </c>
      <c r="F38" s="187" t="s">
        <v>2168</v>
      </c>
      <c r="G38" s="188"/>
      <c r="H38" s="189"/>
      <c r="I38" s="188"/>
      <c r="J38" s="188"/>
      <c r="K38" s="189"/>
      <c r="L38" s="188"/>
      <c r="M38" s="162" t="str">
        <f>IF(N38="","",VLOOKUP(N38,'CURSOS 2025'!$A$3:$D$199,3,FALSE))</f>
        <v/>
      </c>
      <c r="N38" s="187"/>
      <c r="O38" s="190"/>
      <c r="P38" s="191"/>
      <c r="Q38" s="162" t="str">
        <f>IF(N38="","",VLOOKUP(N38,'CURSOS 2025'!$A$3:$D$199,4,FALSE))</f>
        <v/>
      </c>
      <c r="R38" s="192" t="s">
        <v>37</v>
      </c>
      <c r="S38" s="166" t="str">
        <f>IF(N38="","",VLOOKUP(N38,'CURSOS 2025'!$A$3:$B$199,2,FALSE))</f>
        <v/>
      </c>
      <c r="T38" s="166"/>
    </row>
    <row r="39" spans="1:20" s="167" customFormat="1" ht="30" customHeight="1" thickBot="1" x14ac:dyDescent="0.35">
      <c r="A39" s="182">
        <v>326</v>
      </c>
      <c r="B39" s="183" t="s">
        <v>2169</v>
      </c>
      <c r="C39" s="184">
        <v>80182</v>
      </c>
      <c r="D39" s="185" t="s">
        <v>2170</v>
      </c>
      <c r="E39" s="193" t="s">
        <v>2171</v>
      </c>
      <c r="F39" s="187" t="s">
        <v>2172</v>
      </c>
      <c r="G39" s="188"/>
      <c r="H39" s="189"/>
      <c r="I39" s="188"/>
      <c r="J39" s="188"/>
      <c r="K39" s="189"/>
      <c r="L39" s="188"/>
      <c r="M39" s="162" t="str">
        <f>IF(N39="","",VLOOKUP(N39,'CURSOS 2025'!$A$3:$D$199,3,FALSE))</f>
        <v/>
      </c>
      <c r="N39" s="187"/>
      <c r="O39" s="190"/>
      <c r="P39" s="191"/>
      <c r="Q39" s="162" t="str">
        <f>IF(N39="","",VLOOKUP(N39,'CURSOS 2025'!$A$3:$D$199,4,FALSE))</f>
        <v/>
      </c>
      <c r="R39" s="192" t="s">
        <v>2087</v>
      </c>
      <c r="S39" s="166" t="str">
        <f>IF(N39="","",VLOOKUP(N39,'CURSOS 2025'!$A$3:$B$199,2,FALSE))</f>
        <v/>
      </c>
      <c r="T39" s="166"/>
    </row>
    <row r="40" spans="1:20" s="167" customFormat="1" ht="30" customHeight="1" thickBot="1" x14ac:dyDescent="0.35">
      <c r="A40" s="182">
        <v>326</v>
      </c>
      <c r="B40" s="183" t="s">
        <v>34</v>
      </c>
      <c r="C40" s="184">
        <v>206230</v>
      </c>
      <c r="D40" s="185" t="s">
        <v>2173</v>
      </c>
      <c r="E40" s="193" t="s">
        <v>2171</v>
      </c>
      <c r="F40" s="187" t="s">
        <v>2174</v>
      </c>
      <c r="G40" s="188"/>
      <c r="H40" s="189"/>
      <c r="I40" s="188"/>
      <c r="J40" s="188"/>
      <c r="K40" s="189"/>
      <c r="L40" s="188"/>
      <c r="M40" s="162" t="str">
        <f>IF(N40="","",VLOOKUP(N40,'CURSOS 2025'!$A$3:$D$199,3,FALSE))</f>
        <v/>
      </c>
      <c r="N40" s="187"/>
      <c r="O40" s="190"/>
      <c r="P40" s="191"/>
      <c r="Q40" s="162" t="str">
        <f>IF(N40="","",VLOOKUP(N40,'CURSOS 2025'!$A$3:$D$199,4,FALSE))</f>
        <v/>
      </c>
      <c r="R40" s="192" t="s">
        <v>37</v>
      </c>
      <c r="S40" s="166" t="str">
        <f>IF(N40="","",VLOOKUP(N40,'CURSOS 2025'!$A$3:$B$199,2,FALSE))</f>
        <v/>
      </c>
      <c r="T40" s="166"/>
    </row>
    <row r="41" spans="1:20" s="167" customFormat="1" ht="30" customHeight="1" thickBot="1" x14ac:dyDescent="0.35">
      <c r="A41" s="182">
        <v>328</v>
      </c>
      <c r="B41" s="183" t="s">
        <v>34</v>
      </c>
      <c r="C41" s="184">
        <v>20771</v>
      </c>
      <c r="D41" s="185" t="s">
        <v>2175</v>
      </c>
      <c r="E41" s="193" t="s">
        <v>724</v>
      </c>
      <c r="F41" s="187" t="s">
        <v>2176</v>
      </c>
      <c r="G41" s="188"/>
      <c r="H41" s="189"/>
      <c r="I41" s="188"/>
      <c r="J41" s="188"/>
      <c r="K41" s="189"/>
      <c r="L41" s="188"/>
      <c r="M41" s="162" t="str">
        <f>IF(N41="","",VLOOKUP(N41,'CURSOS 2025'!$A$3:$D$199,3,FALSE))</f>
        <v/>
      </c>
      <c r="N41" s="187"/>
      <c r="O41" s="190"/>
      <c r="P41" s="191"/>
      <c r="Q41" s="162" t="str">
        <f>IF(N41="","",VLOOKUP(N41,'CURSOS 2025'!$A$3:$D$199,4,FALSE))</f>
        <v/>
      </c>
      <c r="R41" s="192" t="s">
        <v>37</v>
      </c>
      <c r="S41" s="166" t="str">
        <f>IF(N41="","",VLOOKUP(N41,'CURSOS 2025'!$A$3:$B$199,2,FALSE))</f>
        <v/>
      </c>
      <c r="T41" s="166"/>
    </row>
    <row r="42" spans="1:20" s="167" customFormat="1" ht="30" customHeight="1" thickBot="1" x14ac:dyDescent="0.35">
      <c r="A42" s="182">
        <v>329</v>
      </c>
      <c r="B42" s="183" t="s">
        <v>530</v>
      </c>
      <c r="C42" s="184">
        <v>3926</v>
      </c>
      <c r="D42" s="185" t="s">
        <v>2177</v>
      </c>
      <c r="E42" s="193" t="s">
        <v>724</v>
      </c>
      <c r="F42" s="187" t="s">
        <v>2178</v>
      </c>
      <c r="G42" s="188"/>
      <c r="H42" s="189"/>
      <c r="I42" s="188"/>
      <c r="J42" s="188"/>
      <c r="K42" s="189"/>
      <c r="L42" s="188"/>
      <c r="M42" s="162" t="str">
        <f>IF(N42="","",VLOOKUP(N42,'CURSOS 2025'!$A$3:$D$199,3,FALSE))</f>
        <v/>
      </c>
      <c r="N42" s="187"/>
      <c r="O42" s="190"/>
      <c r="P42" s="191"/>
      <c r="Q42" s="162" t="str">
        <f>IF(N42="","",VLOOKUP(N42,'CURSOS 2025'!$A$3:$D$199,4,FALSE))</f>
        <v/>
      </c>
      <c r="R42" s="192" t="s">
        <v>37</v>
      </c>
      <c r="S42" s="166" t="str">
        <f>IF(N42="","",VLOOKUP(N42,'CURSOS 2025'!$A$3:$B$199,2,FALSE))</f>
        <v/>
      </c>
      <c r="T42" s="166"/>
    </row>
    <row r="43" spans="1:20" s="167" customFormat="1" ht="30" customHeight="1" thickBot="1" x14ac:dyDescent="0.35">
      <c r="A43" s="182">
        <v>328</v>
      </c>
      <c r="B43" s="183" t="s">
        <v>697</v>
      </c>
      <c r="C43" s="184">
        <v>3907</v>
      </c>
      <c r="D43" s="185" t="s">
        <v>2179</v>
      </c>
      <c r="E43" s="193" t="s">
        <v>724</v>
      </c>
      <c r="F43" s="187" t="s">
        <v>2180</v>
      </c>
      <c r="G43" s="188"/>
      <c r="H43" s="189"/>
      <c r="I43" s="188"/>
      <c r="J43" s="188"/>
      <c r="K43" s="189"/>
      <c r="L43" s="188"/>
      <c r="M43" s="162" t="str">
        <f>IF(N43="","",VLOOKUP(N43,'CURSOS 2025'!$A$3:$D$199,3,FALSE))</f>
        <v/>
      </c>
      <c r="N43" s="187"/>
      <c r="O43" s="190"/>
      <c r="P43" s="191"/>
      <c r="Q43" s="162" t="str">
        <f>IF(N43="","",VLOOKUP(N43,'CURSOS 2025'!$A$3:$D$199,4,FALSE))</f>
        <v/>
      </c>
      <c r="R43" s="192" t="s">
        <v>37</v>
      </c>
      <c r="S43" s="166" t="str">
        <f>IF(N43="","",VLOOKUP(N43,'CURSOS 2025'!$A$3:$B$199,2,FALSE))</f>
        <v/>
      </c>
      <c r="T43" s="166"/>
    </row>
    <row r="44" spans="1:20" s="167" customFormat="1" ht="30" customHeight="1" thickBot="1" x14ac:dyDescent="0.35">
      <c r="A44" s="182">
        <v>329</v>
      </c>
      <c r="B44" s="183" t="s">
        <v>2181</v>
      </c>
      <c r="C44" s="184">
        <v>3800</v>
      </c>
      <c r="D44" s="185" t="s">
        <v>2182</v>
      </c>
      <c r="E44" s="193" t="s">
        <v>143</v>
      </c>
      <c r="F44" s="187" t="s">
        <v>2183</v>
      </c>
      <c r="G44" s="188"/>
      <c r="H44" s="189"/>
      <c r="I44" s="188"/>
      <c r="J44" s="188" t="s">
        <v>231</v>
      </c>
      <c r="K44" s="189" t="s">
        <v>231</v>
      </c>
      <c r="L44" s="188" t="s">
        <v>231</v>
      </c>
      <c r="M44" s="162" t="e">
        <f>IF(N44="","",VLOOKUP(N44,'CURSOS 2025'!$A$3:$D$199,3,FALSE))</f>
        <v>#N/A</v>
      </c>
      <c r="N44" s="187" t="s">
        <v>2184</v>
      </c>
      <c r="O44" s="190">
        <v>45334</v>
      </c>
      <c r="P44" s="191">
        <v>45338</v>
      </c>
      <c r="Q44" s="162" t="e">
        <f>IF(N44="","",VLOOKUP(N44,'CURSOS 2025'!$A$3:$D$199,4,FALSE))</f>
        <v>#N/A</v>
      </c>
      <c r="R44" s="192" t="s">
        <v>37</v>
      </c>
      <c r="S44" s="166" t="e">
        <f>IF(N44="","",VLOOKUP(N44,'CURSOS 2025'!$A$3:$B$199,2,FALSE))</f>
        <v>#N/A</v>
      </c>
      <c r="T44" s="166"/>
    </row>
    <row r="45" spans="1:20" s="167" customFormat="1" ht="30" customHeight="1" thickBot="1" x14ac:dyDescent="0.35">
      <c r="A45" s="182">
        <v>328</v>
      </c>
      <c r="B45" s="183" t="s">
        <v>912</v>
      </c>
      <c r="C45" s="184">
        <v>3505</v>
      </c>
      <c r="D45" s="185" t="s">
        <v>2185</v>
      </c>
      <c r="E45" s="193" t="s">
        <v>724</v>
      </c>
      <c r="F45" s="187" t="s">
        <v>2186</v>
      </c>
      <c r="G45" s="188"/>
      <c r="H45" s="189"/>
      <c r="I45" s="188"/>
      <c r="J45" s="188"/>
      <c r="K45" s="189"/>
      <c r="L45" s="188"/>
      <c r="M45" s="162" t="str">
        <f>IF(N45="","",VLOOKUP(N45,'CURSOS 2025'!$A$3:$D$199,3,FALSE))</f>
        <v/>
      </c>
      <c r="N45" s="187"/>
      <c r="O45" s="190"/>
      <c r="P45" s="191"/>
      <c r="Q45" s="162" t="str">
        <f>IF(N45="","",VLOOKUP(N45,'CURSOS 2025'!$A$3:$D$199,4,FALSE))</f>
        <v/>
      </c>
      <c r="R45" s="192" t="s">
        <v>37</v>
      </c>
      <c r="S45" s="166" t="str">
        <f>IF(N45="","",VLOOKUP(N45,'CURSOS 2025'!$A$3:$B$199,2,FALSE))</f>
        <v/>
      </c>
      <c r="T45" s="166"/>
    </row>
    <row r="46" spans="1:20" s="167" customFormat="1" ht="30" customHeight="1" thickBot="1" x14ac:dyDescent="0.35">
      <c r="A46" s="182">
        <v>328</v>
      </c>
      <c r="B46" s="183" t="s">
        <v>835</v>
      </c>
      <c r="C46" s="184">
        <v>3707</v>
      </c>
      <c r="D46" s="185" t="s">
        <v>2187</v>
      </c>
      <c r="E46" s="193" t="s">
        <v>724</v>
      </c>
      <c r="F46" s="187" t="s">
        <v>2188</v>
      </c>
      <c r="G46" s="188"/>
      <c r="H46" s="189"/>
      <c r="I46" s="188"/>
      <c r="J46" s="188"/>
      <c r="K46" s="189"/>
      <c r="L46" s="188"/>
      <c r="M46" s="162" t="str">
        <f>IF(N46="","",VLOOKUP(N46,'CURSOS 2025'!$A$3:$D$199,3,FALSE))</f>
        <v/>
      </c>
      <c r="N46" s="187"/>
      <c r="O46" s="195"/>
      <c r="P46" s="191"/>
      <c r="Q46" s="162" t="str">
        <f>IF(N46="","",VLOOKUP(N46,'CURSOS 2025'!$A$3:$D$199,4,FALSE))</f>
        <v/>
      </c>
      <c r="R46" s="192" t="s">
        <v>37</v>
      </c>
      <c r="S46" s="166" t="str">
        <f>IF(N46="","",VLOOKUP(N46,'CURSOS 2025'!$A$3:$B$199,2,FALSE))</f>
        <v/>
      </c>
      <c r="T46" s="166"/>
    </row>
    <row r="47" spans="1:20" s="167" customFormat="1" ht="30" customHeight="1" thickBot="1" x14ac:dyDescent="0.35">
      <c r="A47" s="182">
        <v>328</v>
      </c>
      <c r="B47" s="183" t="s">
        <v>912</v>
      </c>
      <c r="C47" s="184">
        <v>1262</v>
      </c>
      <c r="D47" s="185" t="s">
        <v>2189</v>
      </c>
      <c r="E47" s="193" t="s">
        <v>724</v>
      </c>
      <c r="F47" s="187" t="s">
        <v>2190</v>
      </c>
      <c r="G47" s="188"/>
      <c r="H47" s="189"/>
      <c r="I47" s="188"/>
      <c r="J47" s="188"/>
      <c r="K47" s="189"/>
      <c r="L47" s="188"/>
      <c r="M47" s="162" t="str">
        <f>IF(N47="","",VLOOKUP(N47,'CURSOS 2025'!$A$3:$D$199,3,FALSE))</f>
        <v/>
      </c>
      <c r="N47" s="187"/>
      <c r="O47" s="190"/>
      <c r="P47" s="191"/>
      <c r="Q47" s="162" t="str">
        <f>IF(N47="","",VLOOKUP(N47,'CURSOS 2025'!$A$3:$D$199,4,FALSE))</f>
        <v/>
      </c>
      <c r="R47" s="192" t="s">
        <v>37</v>
      </c>
      <c r="S47" s="166" t="str">
        <f>IF(N47="","",VLOOKUP(N47,'CURSOS 2025'!$A$3:$B$199,2,FALSE))</f>
        <v/>
      </c>
      <c r="T47" s="166"/>
    </row>
    <row r="48" spans="1:20" s="181" customFormat="1" ht="30" customHeight="1" thickBot="1" x14ac:dyDescent="0.35">
      <c r="A48" s="168">
        <v>328</v>
      </c>
      <c r="B48" s="169" t="s">
        <v>530</v>
      </c>
      <c r="C48" s="170" t="s">
        <v>2191</v>
      </c>
      <c r="D48" s="171" t="s">
        <v>1876</v>
      </c>
      <c r="E48" s="194" t="s">
        <v>724</v>
      </c>
      <c r="F48" s="173" t="s">
        <v>2192</v>
      </c>
      <c r="G48" s="174"/>
      <c r="H48" s="175"/>
      <c r="I48" s="174"/>
      <c r="J48" s="174"/>
      <c r="K48" s="175"/>
      <c r="L48" s="174"/>
      <c r="M48" s="176" t="str">
        <f>IF(N48="","",VLOOKUP(N48,'CURSOS 2025'!$A$3:$D$199,3,FALSE))</f>
        <v/>
      </c>
      <c r="N48" s="173"/>
      <c r="O48" s="177"/>
      <c r="P48" s="178"/>
      <c r="Q48" s="176" t="str">
        <f>IF(N48="","",VLOOKUP(N48,'CURSOS 2025'!$A$3:$D$199,4,FALSE))</f>
        <v/>
      </c>
      <c r="R48" s="179" t="s">
        <v>37</v>
      </c>
      <c r="S48" s="180" t="str">
        <f>IF(N48="","",VLOOKUP(N48,'CURSOS 2025'!$A$3:$B$199,2,FALSE))</f>
        <v/>
      </c>
      <c r="T48" s="180"/>
    </row>
    <row r="49" spans="1:20" s="181" customFormat="1" ht="30" customHeight="1" thickBot="1" x14ac:dyDescent="0.35">
      <c r="A49" s="168">
        <v>328</v>
      </c>
      <c r="B49" s="169" t="s">
        <v>530</v>
      </c>
      <c r="C49" s="170" t="s">
        <v>2193</v>
      </c>
      <c r="D49" s="171" t="s">
        <v>2194</v>
      </c>
      <c r="E49" s="194" t="s">
        <v>779</v>
      </c>
      <c r="F49" s="173" t="s">
        <v>2195</v>
      </c>
      <c r="G49" s="174"/>
      <c r="H49" s="175"/>
      <c r="I49" s="174"/>
      <c r="J49" s="174"/>
      <c r="K49" s="175"/>
      <c r="L49" s="174"/>
      <c r="M49" s="176" t="str">
        <f>IF(N49="","",VLOOKUP(N49,'CURSOS 2025'!$A$3:$D$199,3,FALSE))</f>
        <v/>
      </c>
      <c r="N49" s="173"/>
      <c r="O49" s="177"/>
      <c r="P49" s="178"/>
      <c r="Q49" s="176" t="str">
        <f>IF(N49="","",VLOOKUP(N49,'CURSOS 2025'!$A$3:$D$199,4,FALSE))</f>
        <v/>
      </c>
      <c r="R49" s="179" t="s">
        <v>37</v>
      </c>
      <c r="S49" s="180" t="str">
        <f>IF(N49="","",VLOOKUP(N49,'CURSOS 2025'!$A$3:$B$199,2,FALSE))</f>
        <v/>
      </c>
      <c r="T49" s="180"/>
    </row>
    <row r="50" spans="1:20" s="181" customFormat="1" ht="30" customHeight="1" thickBot="1" x14ac:dyDescent="0.35">
      <c r="A50" s="168">
        <v>328</v>
      </c>
      <c r="B50" s="169" t="s">
        <v>530</v>
      </c>
      <c r="C50" s="170" t="s">
        <v>2196</v>
      </c>
      <c r="D50" s="171" t="s">
        <v>2197</v>
      </c>
      <c r="E50" s="194" t="s">
        <v>779</v>
      </c>
      <c r="F50" s="173" t="s">
        <v>2198</v>
      </c>
      <c r="G50" s="174"/>
      <c r="H50" s="175"/>
      <c r="I50" s="174"/>
      <c r="J50" s="174"/>
      <c r="K50" s="175"/>
      <c r="L50" s="174"/>
      <c r="M50" s="176" t="str">
        <f>IF(N50="","",VLOOKUP(N50,'CURSOS 2025'!$A$3:$D$199,3,FALSE))</f>
        <v/>
      </c>
      <c r="N50" s="173"/>
      <c r="O50" s="177"/>
      <c r="P50" s="196"/>
      <c r="Q50" s="176" t="str">
        <f>IF(N50="","",VLOOKUP(N50,'CURSOS 2025'!$A$3:$D$199,4,FALSE))</f>
        <v/>
      </c>
      <c r="R50" s="179" t="s">
        <v>37</v>
      </c>
      <c r="S50" s="180" t="str">
        <f>IF(N50="","",VLOOKUP(N50,'CURSOS 2025'!$A$3:$B$199,2,FALSE))</f>
        <v/>
      </c>
      <c r="T50" s="180"/>
    </row>
    <row r="51" spans="1:20" s="167" customFormat="1" ht="30" customHeight="1" thickBot="1" x14ac:dyDescent="0.35">
      <c r="A51" s="182">
        <v>336</v>
      </c>
      <c r="B51" s="183" t="s">
        <v>243</v>
      </c>
      <c r="C51" s="184">
        <v>20259</v>
      </c>
      <c r="D51" s="185" t="s">
        <v>2199</v>
      </c>
      <c r="E51" s="193" t="s">
        <v>1193</v>
      </c>
      <c r="F51" s="187" t="s">
        <v>2200</v>
      </c>
      <c r="G51" s="188"/>
      <c r="H51" s="189"/>
      <c r="I51" s="188"/>
      <c r="J51" s="188"/>
      <c r="K51" s="189"/>
      <c r="L51" s="188"/>
      <c r="M51" s="162" t="str">
        <f>IF(N51="","",VLOOKUP(N51,'CURSOS 2025'!$A$3:$D$199,3,FALSE))</f>
        <v/>
      </c>
      <c r="N51" s="187"/>
      <c r="O51" s="190"/>
      <c r="P51" s="191"/>
      <c r="Q51" s="162" t="str">
        <f>IF(N51="","",VLOOKUP(N51,'CURSOS 2025'!$A$3:$D$199,4,FALSE))</f>
        <v/>
      </c>
      <c r="R51" s="192" t="s">
        <v>37</v>
      </c>
      <c r="S51" s="166" t="str">
        <f>IF(N51="","",VLOOKUP(N51,'CURSOS 2025'!$A$3:$B$199,2,FALSE))</f>
        <v/>
      </c>
      <c r="T51" s="166"/>
    </row>
    <row r="52" spans="1:20" s="167" customFormat="1" ht="30" customHeight="1" thickBot="1" x14ac:dyDescent="0.35">
      <c r="A52" s="182">
        <v>336</v>
      </c>
      <c r="B52" s="183" t="s">
        <v>530</v>
      </c>
      <c r="C52" s="184">
        <v>3956</v>
      </c>
      <c r="D52" s="185" t="s">
        <v>2201</v>
      </c>
      <c r="E52" s="193" t="s">
        <v>1193</v>
      </c>
      <c r="F52" s="187" t="s">
        <v>2202</v>
      </c>
      <c r="G52" s="188"/>
      <c r="H52" s="189"/>
      <c r="I52" s="188"/>
      <c r="J52" s="188"/>
      <c r="K52" s="189"/>
      <c r="L52" s="188"/>
      <c r="M52" s="162" t="str">
        <f>IF(N52="","",VLOOKUP(N52,'CURSOS 2025'!$A$3:$D$199,3,FALSE))</f>
        <v/>
      </c>
      <c r="N52" s="187"/>
      <c r="O52" s="190"/>
      <c r="P52" s="191"/>
      <c r="Q52" s="162" t="str">
        <f>IF(N52="","",VLOOKUP(N52,'CURSOS 2025'!$A$3:$D$199,4,FALSE))</f>
        <v/>
      </c>
      <c r="R52" s="192" t="s">
        <v>37</v>
      </c>
      <c r="S52" s="166" t="str">
        <f>IF(N52="","",VLOOKUP(N52,'CURSOS 2025'!$A$3:$B$199,2,FALSE))</f>
        <v/>
      </c>
      <c r="T52" s="166"/>
    </row>
    <row r="53" spans="1:20" s="167" customFormat="1" ht="30" customHeight="1" thickBot="1" x14ac:dyDescent="0.35">
      <c r="A53" s="182">
        <v>336</v>
      </c>
      <c r="B53" s="183" t="s">
        <v>1241</v>
      </c>
      <c r="C53" s="184">
        <v>3764</v>
      </c>
      <c r="D53" s="185" t="s">
        <v>2203</v>
      </c>
      <c r="E53" s="193" t="s">
        <v>1193</v>
      </c>
      <c r="F53" s="187" t="s">
        <v>1360</v>
      </c>
      <c r="G53" s="188"/>
      <c r="H53" s="189"/>
      <c r="I53" s="188"/>
      <c r="J53" s="188"/>
      <c r="K53" s="189"/>
      <c r="L53" s="188"/>
      <c r="M53" s="162" t="str">
        <f>IF(N53="","",VLOOKUP(N53,'CURSOS 2025'!$A$3:$D$199,3,FALSE))</f>
        <v/>
      </c>
      <c r="N53" s="187"/>
      <c r="O53" s="190"/>
      <c r="P53" s="190"/>
      <c r="Q53" s="162" t="str">
        <f>IF(N53="","",VLOOKUP(N53,'CURSOS 2025'!$A$3:$D$199,4,FALSE))</f>
        <v/>
      </c>
      <c r="R53" s="192" t="s">
        <v>37</v>
      </c>
      <c r="S53" s="166" t="str">
        <f>IF(N53="","",VLOOKUP(N53,'CURSOS 2025'!$A$3:$B$199,2,FALSE))</f>
        <v/>
      </c>
      <c r="T53" s="166"/>
    </row>
    <row r="54" spans="1:20" s="167" customFormat="1" ht="30" customHeight="1" thickBot="1" x14ac:dyDescent="0.35">
      <c r="A54" s="182">
        <v>336</v>
      </c>
      <c r="B54" s="183" t="s">
        <v>697</v>
      </c>
      <c r="C54" s="184">
        <v>3869</v>
      </c>
      <c r="D54" s="185" t="s">
        <v>2204</v>
      </c>
      <c r="E54" s="193" t="s">
        <v>1193</v>
      </c>
      <c r="F54" s="187" t="s">
        <v>2205</v>
      </c>
      <c r="G54" s="188"/>
      <c r="H54" s="189"/>
      <c r="I54" s="188"/>
      <c r="J54" s="188"/>
      <c r="K54" s="189"/>
      <c r="L54" s="188"/>
      <c r="M54" s="162" t="str">
        <f>IF(N54="","",VLOOKUP(N54,'CURSOS 2025'!$A$3:$D$199,3,FALSE))</f>
        <v/>
      </c>
      <c r="N54" s="187"/>
      <c r="O54" s="190"/>
      <c r="P54" s="191"/>
      <c r="Q54" s="162" t="str">
        <f>IF(N54="","",VLOOKUP(N54,'CURSOS 2025'!$A$3:$D$199,4,FALSE))</f>
        <v/>
      </c>
      <c r="R54" s="192" t="s">
        <v>37</v>
      </c>
      <c r="S54" s="166" t="str">
        <f>IF(N54="","",VLOOKUP(N54,'CURSOS 2025'!$A$3:$B$199,2,FALSE))</f>
        <v/>
      </c>
      <c r="T54" s="166"/>
    </row>
    <row r="55" spans="1:20" s="167" customFormat="1" ht="30" customHeight="1" thickBot="1" x14ac:dyDescent="0.35">
      <c r="A55" s="182">
        <v>336</v>
      </c>
      <c r="B55" s="183" t="s">
        <v>153</v>
      </c>
      <c r="C55" s="184">
        <v>1792</v>
      </c>
      <c r="D55" s="185" t="s">
        <v>2206</v>
      </c>
      <c r="E55" s="193" t="s">
        <v>1193</v>
      </c>
      <c r="F55" s="187" t="s">
        <v>2207</v>
      </c>
      <c r="G55" s="188"/>
      <c r="H55" s="189"/>
      <c r="I55" s="188"/>
      <c r="J55" s="188"/>
      <c r="K55" s="189"/>
      <c r="L55" s="188"/>
      <c r="M55" s="162" t="str">
        <f>IF(N55="","",VLOOKUP(N55,'CURSOS 2025'!$A$3:$D$199,3,FALSE))</f>
        <v/>
      </c>
      <c r="N55" s="187"/>
      <c r="O55" s="190"/>
      <c r="P55" s="191"/>
      <c r="Q55" s="162" t="str">
        <f>IF(N55="","",VLOOKUP(N55,'CURSOS 2025'!$A$3:$D$199,4,FALSE))</f>
        <v/>
      </c>
      <c r="R55" s="192" t="s">
        <v>37</v>
      </c>
      <c r="S55" s="166" t="str">
        <f>IF(N55="","",VLOOKUP(N55,'CURSOS 2025'!$A$3:$B$199,2,FALSE))</f>
        <v/>
      </c>
      <c r="T55" s="166"/>
    </row>
    <row r="56" spans="1:20" s="167" customFormat="1" ht="30" customHeight="1" thickBot="1" x14ac:dyDescent="0.35">
      <c r="A56" s="182">
        <v>336</v>
      </c>
      <c r="B56" s="183" t="s">
        <v>1219</v>
      </c>
      <c r="C56" s="184">
        <v>3394</v>
      </c>
      <c r="D56" s="185" t="s">
        <v>2208</v>
      </c>
      <c r="E56" s="193" t="s">
        <v>1193</v>
      </c>
      <c r="F56" s="187" t="s">
        <v>2209</v>
      </c>
      <c r="G56" s="188"/>
      <c r="H56" s="189"/>
      <c r="I56" s="188"/>
      <c r="J56" s="188"/>
      <c r="K56" s="189"/>
      <c r="L56" s="188"/>
      <c r="M56" s="162" t="str">
        <f>IF(N56="","",VLOOKUP(N56,'CURSOS 2025'!$A$3:$D$199,3,FALSE))</f>
        <v/>
      </c>
      <c r="N56" s="187"/>
      <c r="O56" s="190"/>
      <c r="P56" s="191"/>
      <c r="Q56" s="162" t="str">
        <f>IF(N56="","",VLOOKUP(N56,'CURSOS 2025'!$A$3:$D$199,4,FALSE))</f>
        <v/>
      </c>
      <c r="R56" s="192" t="s">
        <v>37</v>
      </c>
      <c r="S56" s="166" t="str">
        <f>IF(N56="","",VLOOKUP(N56,'CURSOS 2025'!$A$3:$B$199,2,FALSE))</f>
        <v/>
      </c>
      <c r="T56" s="166"/>
    </row>
    <row r="57" spans="1:20" s="167" customFormat="1" ht="30" customHeight="1" thickBot="1" x14ac:dyDescent="0.35">
      <c r="A57" s="182">
        <v>336</v>
      </c>
      <c r="B57" s="183" t="s">
        <v>1289</v>
      </c>
      <c r="C57" s="184">
        <v>3095</v>
      </c>
      <c r="D57" s="185" t="s">
        <v>2210</v>
      </c>
      <c r="E57" s="193" t="s">
        <v>1193</v>
      </c>
      <c r="F57" s="187" t="s">
        <v>2211</v>
      </c>
      <c r="G57" s="188"/>
      <c r="H57" s="189"/>
      <c r="I57" s="188"/>
      <c r="J57" s="188"/>
      <c r="K57" s="189"/>
      <c r="L57" s="188"/>
      <c r="M57" s="162" t="str">
        <f>IF(N57="","",VLOOKUP(N57,'CURSOS 2025'!$A$3:$D$199,3,FALSE))</f>
        <v/>
      </c>
      <c r="N57" s="187"/>
      <c r="O57" s="190"/>
      <c r="P57" s="191"/>
      <c r="Q57" s="162" t="str">
        <f>IF(N57="","",VLOOKUP(N57,'CURSOS 2025'!$A$3:$D$199,4,FALSE))</f>
        <v/>
      </c>
      <c r="R57" s="192" t="s">
        <v>37</v>
      </c>
      <c r="S57" s="166" t="str">
        <f>IF(N57="","",VLOOKUP(N57,'CURSOS 2025'!$A$3:$B$199,2,FALSE))</f>
        <v/>
      </c>
      <c r="T57" s="166"/>
    </row>
    <row r="58" spans="1:20" s="167" customFormat="1" ht="30" customHeight="1" thickBot="1" x14ac:dyDescent="0.35">
      <c r="A58" s="182">
        <v>810</v>
      </c>
      <c r="B58" s="183" t="s">
        <v>34</v>
      </c>
      <c r="C58" s="184">
        <v>205902</v>
      </c>
      <c r="D58" s="185" t="s">
        <v>2212</v>
      </c>
      <c r="E58" s="193" t="s">
        <v>2213</v>
      </c>
      <c r="F58" s="187" t="s">
        <v>2214</v>
      </c>
      <c r="G58" s="188"/>
      <c r="H58" s="189"/>
      <c r="I58" s="188"/>
      <c r="J58" s="188"/>
      <c r="K58" s="189"/>
      <c r="L58" s="188"/>
      <c r="M58" s="162" t="str">
        <f>IF(N58="","",VLOOKUP(N58,'CURSOS 2025'!$A$3:$D$199,3,FALSE))</f>
        <v/>
      </c>
      <c r="N58" s="187"/>
      <c r="O58" s="190"/>
      <c r="P58" s="191"/>
      <c r="Q58" s="162" t="str">
        <f>IF(N58="","",VLOOKUP(N58,'CURSOS 2025'!$A$3:$D$199,4,FALSE))</f>
        <v/>
      </c>
      <c r="R58" s="192" t="s">
        <v>2087</v>
      </c>
      <c r="S58" s="166" t="str">
        <f>IF(N58="","",VLOOKUP(N58,'CURSOS 2025'!$A$3:$B$199,2,FALSE))</f>
        <v/>
      </c>
      <c r="T58" s="166"/>
    </row>
    <row r="59" spans="1:20" s="181" customFormat="1" ht="30" customHeight="1" thickBot="1" x14ac:dyDescent="0.35">
      <c r="A59" s="168">
        <v>810</v>
      </c>
      <c r="B59" s="169" t="s">
        <v>1879</v>
      </c>
      <c r="C59" s="170" t="s">
        <v>2215</v>
      </c>
      <c r="D59" s="171" t="s">
        <v>1882</v>
      </c>
      <c r="E59" s="194" t="s">
        <v>2213</v>
      </c>
      <c r="F59" s="173" t="s">
        <v>2216</v>
      </c>
      <c r="G59" s="174"/>
      <c r="H59" s="175"/>
      <c r="I59" s="174"/>
      <c r="J59" s="174"/>
      <c r="K59" s="175"/>
      <c r="L59" s="174"/>
      <c r="M59" s="176" t="str">
        <f>IF(N59="","",VLOOKUP(N59,'CURSOS 2025'!$A$3:$D$199,3,FALSE))</f>
        <v/>
      </c>
      <c r="N59" s="173"/>
      <c r="O59" s="177"/>
      <c r="P59" s="178"/>
      <c r="Q59" s="176" t="str">
        <f>IF(N59="","",VLOOKUP(N59,'CURSOS 2025'!$A$3:$D$199,4,FALSE))</f>
        <v/>
      </c>
      <c r="R59" s="179" t="s">
        <v>37</v>
      </c>
      <c r="S59" s="180" t="str">
        <f>IF(N59="","",VLOOKUP(N59,'CURSOS 2025'!$A$3:$B$199,2,FALSE))</f>
        <v/>
      </c>
      <c r="T59" s="180"/>
    </row>
    <row r="60" spans="1:20" s="167" customFormat="1" ht="30" customHeight="1" thickBot="1" x14ac:dyDescent="0.35">
      <c r="A60" s="182">
        <v>846</v>
      </c>
      <c r="B60" s="183" t="s">
        <v>42</v>
      </c>
      <c r="C60" s="184">
        <v>20469</v>
      </c>
      <c r="D60" s="185" t="s">
        <v>2217</v>
      </c>
      <c r="E60" s="193" t="s">
        <v>1398</v>
      </c>
      <c r="F60" s="187" t="s">
        <v>2218</v>
      </c>
      <c r="G60" s="188"/>
      <c r="H60" s="189"/>
      <c r="I60" s="188"/>
      <c r="J60" s="188"/>
      <c r="K60" s="189"/>
      <c r="L60" s="188"/>
      <c r="M60" s="162" t="str">
        <f>IF(N60="","",VLOOKUP(N60,'CURSOS 2025'!$A$3:$D$199,3,FALSE))</f>
        <v/>
      </c>
      <c r="N60" s="187"/>
      <c r="O60" s="190"/>
      <c r="P60" s="191"/>
      <c r="Q60" s="162" t="str">
        <f>IF(N60="","",VLOOKUP(N60,'CURSOS 2025'!$A$3:$D$199,4,FALSE))</f>
        <v/>
      </c>
      <c r="R60" s="192" t="s">
        <v>37</v>
      </c>
      <c r="S60" s="166" t="str">
        <f>IF(N60="","",VLOOKUP(N60,'CURSOS 2025'!$A$3:$B$199,2,FALSE))</f>
        <v/>
      </c>
      <c r="T60" s="166"/>
    </row>
    <row r="61" spans="1:20" s="181" customFormat="1" ht="30" customHeight="1" thickBot="1" x14ac:dyDescent="0.35">
      <c r="A61" s="168">
        <v>846</v>
      </c>
      <c r="B61" s="169" t="s">
        <v>2219</v>
      </c>
      <c r="C61" s="170" t="s">
        <v>2220</v>
      </c>
      <c r="D61" s="171" t="s">
        <v>2221</v>
      </c>
      <c r="E61" s="194" t="s">
        <v>1398</v>
      </c>
      <c r="F61" s="173" t="s">
        <v>2222</v>
      </c>
      <c r="G61" s="174"/>
      <c r="H61" s="175"/>
      <c r="I61" s="174"/>
      <c r="J61" s="174"/>
      <c r="K61" s="175"/>
      <c r="L61" s="174"/>
      <c r="M61" s="176" t="str">
        <f>IF(N61="","",VLOOKUP(N61,'CURSOS 2025'!$A$3:$D$199,3,FALSE))</f>
        <v/>
      </c>
      <c r="N61" s="173"/>
      <c r="O61" s="177"/>
      <c r="P61" s="178"/>
      <c r="Q61" s="176" t="str">
        <f>IF(N61="","",VLOOKUP(N61,'CURSOS 2025'!$A$3:$D$199,4,FALSE))</f>
        <v/>
      </c>
      <c r="R61" s="179" t="s">
        <v>37</v>
      </c>
      <c r="S61" s="180" t="str">
        <f>IF(N61="","",VLOOKUP(N61,'CURSOS 2025'!$A$3:$B$199,2,FALSE))</f>
        <v/>
      </c>
      <c r="T61" s="180"/>
    </row>
    <row r="62" spans="1:20" s="181" customFormat="1" ht="30" customHeight="1" thickBot="1" x14ac:dyDescent="0.35">
      <c r="A62" s="168">
        <v>846</v>
      </c>
      <c r="B62" s="169" t="s">
        <v>1893</v>
      </c>
      <c r="C62" s="170" t="s">
        <v>2223</v>
      </c>
      <c r="D62" s="171" t="s">
        <v>1894</v>
      </c>
      <c r="E62" s="194" t="s">
        <v>1417</v>
      </c>
      <c r="F62" s="173" t="s">
        <v>2224</v>
      </c>
      <c r="G62" s="174"/>
      <c r="H62" s="175"/>
      <c r="I62" s="174"/>
      <c r="J62" s="174"/>
      <c r="K62" s="175"/>
      <c r="L62" s="174"/>
      <c r="M62" s="176" t="str">
        <f>IF(N62="","",VLOOKUP(N62,'CURSOS 2025'!$A$3:$D$199,3,FALSE))</f>
        <v/>
      </c>
      <c r="N62" s="173"/>
      <c r="O62" s="177"/>
      <c r="P62" s="178"/>
      <c r="Q62" s="176" t="str">
        <f>IF(N62="","",VLOOKUP(N62,'CURSOS 2025'!$A$3:$D$199,4,FALSE))</f>
        <v/>
      </c>
      <c r="R62" s="179" t="s">
        <v>37</v>
      </c>
      <c r="S62" s="180" t="str">
        <f>IF(N62="","",VLOOKUP(N62,'CURSOS 2025'!$A$3:$B$199,2,FALSE))</f>
        <v/>
      </c>
      <c r="T62" s="180"/>
    </row>
    <row r="63" spans="1:20" s="181" customFormat="1" ht="30" customHeight="1" thickBot="1" x14ac:dyDescent="0.35">
      <c r="A63" s="168">
        <v>846</v>
      </c>
      <c r="B63" s="169" t="s">
        <v>38</v>
      </c>
      <c r="C63" s="170" t="s">
        <v>2225</v>
      </c>
      <c r="D63" s="171" t="s">
        <v>2226</v>
      </c>
      <c r="E63" s="194" t="s">
        <v>1417</v>
      </c>
      <c r="F63" s="173" t="s">
        <v>2227</v>
      </c>
      <c r="G63" s="174"/>
      <c r="H63" s="175"/>
      <c r="I63" s="174"/>
      <c r="J63" s="174"/>
      <c r="K63" s="175"/>
      <c r="L63" s="174"/>
      <c r="M63" s="176" t="str">
        <f>IF(N63="","",VLOOKUP(N63,'CURSOS 2025'!$A$3:$D$199,3,FALSE))</f>
        <v/>
      </c>
      <c r="N63" s="173"/>
      <c r="O63" s="177"/>
      <c r="P63" s="178"/>
      <c r="Q63" s="176" t="str">
        <f>IF(N63="","",VLOOKUP(N63,'CURSOS 2025'!$A$3:$D$199,4,FALSE))</f>
        <v/>
      </c>
      <c r="R63" s="179" t="s">
        <v>2087</v>
      </c>
      <c r="S63" s="180" t="str">
        <f>IF(N63="","",VLOOKUP(N63,'CURSOS 2025'!$A$3:$B$199,2,FALSE))</f>
        <v/>
      </c>
      <c r="T63" s="180"/>
    </row>
    <row r="64" spans="1:20" s="181" customFormat="1" ht="30" customHeight="1" thickBot="1" x14ac:dyDescent="0.35">
      <c r="A64" s="168">
        <v>846</v>
      </c>
      <c r="B64" s="169" t="s">
        <v>2228</v>
      </c>
      <c r="C64" s="170" t="s">
        <v>2229</v>
      </c>
      <c r="D64" s="171" t="s">
        <v>2230</v>
      </c>
      <c r="E64" s="194" t="s">
        <v>1417</v>
      </c>
      <c r="F64" s="173" t="s">
        <v>2231</v>
      </c>
      <c r="G64" s="174"/>
      <c r="H64" s="175"/>
      <c r="I64" s="174"/>
      <c r="J64" s="174"/>
      <c r="K64" s="175"/>
      <c r="L64" s="174"/>
      <c r="M64" s="176" t="str">
        <f>IF(N64="","",VLOOKUP(N64,'CURSOS 2025'!$A$3:$D$199,3,FALSE))</f>
        <v/>
      </c>
      <c r="N64" s="173"/>
      <c r="O64" s="177"/>
      <c r="P64" s="178"/>
      <c r="Q64" s="176" t="str">
        <f>IF(N64="","",VLOOKUP(N64,'CURSOS 2025'!$A$3:$D$199,4,FALSE))</f>
        <v/>
      </c>
      <c r="R64" s="179" t="s">
        <v>37</v>
      </c>
      <c r="S64" s="180" t="str">
        <f>IF(N64="","",VLOOKUP(N64,'CURSOS 2025'!$A$3:$B$199,2,FALSE))</f>
        <v/>
      </c>
      <c r="T64" s="180"/>
    </row>
    <row r="65" spans="1:20" s="167" customFormat="1" ht="30" customHeight="1" thickBot="1" x14ac:dyDescent="0.35">
      <c r="A65" s="182">
        <v>846</v>
      </c>
      <c r="B65" s="183" t="s">
        <v>38</v>
      </c>
      <c r="C65" s="184">
        <v>206234</v>
      </c>
      <c r="D65" s="185" t="s">
        <v>2232</v>
      </c>
      <c r="E65" s="193" t="s">
        <v>2233</v>
      </c>
      <c r="F65" s="187" t="s">
        <v>2234</v>
      </c>
      <c r="G65" s="188"/>
      <c r="H65" s="189"/>
      <c r="I65" s="188"/>
      <c r="J65" s="188"/>
      <c r="K65" s="189"/>
      <c r="L65" s="188"/>
      <c r="M65" s="162" t="str">
        <f>IF(N65="","",VLOOKUP(N65,'CURSOS 2025'!$A$3:$D$199,3,FALSE))</f>
        <v/>
      </c>
      <c r="N65" s="187"/>
      <c r="O65" s="190"/>
      <c r="P65" s="191"/>
      <c r="Q65" s="162" t="str">
        <f>IF(N65="","",VLOOKUP(N65,'CURSOS 2025'!$A$3:$D$199,4,FALSE))</f>
        <v/>
      </c>
      <c r="R65" s="192" t="s">
        <v>2087</v>
      </c>
      <c r="S65" s="166" t="str">
        <f>IF(N65="","",VLOOKUP(N65,'CURSOS 2025'!$A$3:$B$199,2,FALSE))</f>
        <v/>
      </c>
      <c r="T65" s="166"/>
    </row>
    <row r="66" spans="1:20" s="167" customFormat="1" ht="30" customHeight="1" thickBot="1" x14ac:dyDescent="0.35">
      <c r="A66" s="182">
        <v>625</v>
      </c>
      <c r="B66" s="183" t="s">
        <v>34</v>
      </c>
      <c r="C66" s="184">
        <v>205393</v>
      </c>
      <c r="D66" s="185" t="s">
        <v>2235</v>
      </c>
      <c r="E66" s="193" t="s">
        <v>1485</v>
      </c>
      <c r="F66" s="187" t="s">
        <v>2236</v>
      </c>
      <c r="G66" s="188"/>
      <c r="H66" s="189"/>
      <c r="I66" s="188"/>
      <c r="J66" s="188"/>
      <c r="K66" s="189"/>
      <c r="L66" s="188"/>
      <c r="M66" s="162" t="str">
        <f>IF(N66="","",VLOOKUP(N66,'CURSOS 2025'!$A$3:$D$199,3,FALSE))</f>
        <v/>
      </c>
      <c r="N66" s="187"/>
      <c r="O66" s="190"/>
      <c r="P66" s="191"/>
      <c r="Q66" s="162" t="str">
        <f>IF(N66="","",VLOOKUP(N66,'CURSOS 2025'!$A$3:$D$199,4,FALSE))</f>
        <v/>
      </c>
      <c r="R66" s="192" t="s">
        <v>2087</v>
      </c>
      <c r="S66" s="166" t="str">
        <f>IF(N66="","",VLOOKUP(N66,'CURSOS 2025'!$A$3:$B$199,2,FALSE))</f>
        <v/>
      </c>
      <c r="T66" s="166"/>
    </row>
    <row r="67" spans="1:20" s="167" customFormat="1" ht="30" customHeight="1" thickBot="1" x14ac:dyDescent="0.35">
      <c r="A67" s="182">
        <v>625</v>
      </c>
      <c r="B67" s="183" t="s">
        <v>38</v>
      </c>
      <c r="C67" s="184">
        <v>205520</v>
      </c>
      <c r="D67" s="185" t="s">
        <v>2237</v>
      </c>
      <c r="E67" s="193" t="s">
        <v>1485</v>
      </c>
      <c r="F67" s="187" t="s">
        <v>2238</v>
      </c>
      <c r="G67" s="188"/>
      <c r="H67" s="189"/>
      <c r="I67" s="188"/>
      <c r="J67" s="188"/>
      <c r="K67" s="189"/>
      <c r="L67" s="188"/>
      <c r="M67" s="162" t="str">
        <f>IF(N67="","",VLOOKUP(N67,'CURSOS 2025'!$A$3:$D$199,3,FALSE))</f>
        <v/>
      </c>
      <c r="N67" s="187"/>
      <c r="O67" s="190"/>
      <c r="P67" s="191"/>
      <c r="Q67" s="162" t="str">
        <f>IF(N67="","",VLOOKUP(N67,'CURSOS 2025'!$A$3:$D$199,4,FALSE))</f>
        <v/>
      </c>
      <c r="R67" s="192" t="s">
        <v>37</v>
      </c>
      <c r="S67" s="166" t="str">
        <f>IF(N67="","",VLOOKUP(N67,'CURSOS 2025'!$A$3:$B$199,2,FALSE))</f>
        <v/>
      </c>
      <c r="T67" s="166"/>
    </row>
    <row r="68" spans="1:20" s="167" customFormat="1" ht="30" customHeight="1" thickBot="1" x14ac:dyDescent="0.35">
      <c r="A68" s="182">
        <v>625</v>
      </c>
      <c r="B68" s="183" t="s">
        <v>34</v>
      </c>
      <c r="C68" s="184">
        <v>205396</v>
      </c>
      <c r="D68" s="185" t="s">
        <v>2239</v>
      </c>
      <c r="E68" s="193" t="s">
        <v>1485</v>
      </c>
      <c r="F68" s="187" t="s">
        <v>2240</v>
      </c>
      <c r="G68" s="188"/>
      <c r="H68" s="189"/>
      <c r="I68" s="188"/>
      <c r="J68" s="188"/>
      <c r="K68" s="189"/>
      <c r="L68" s="188"/>
      <c r="M68" s="162" t="str">
        <f>IF(N68="","",VLOOKUP(N68,'CURSOS 2025'!$A$3:$D$199,3,FALSE))</f>
        <v/>
      </c>
      <c r="N68" s="187"/>
      <c r="O68" s="190"/>
      <c r="P68" s="191"/>
      <c r="Q68" s="162" t="str">
        <f>IF(N68="","",VLOOKUP(N68,'CURSOS 2025'!$A$3:$D$199,4,FALSE))</f>
        <v/>
      </c>
      <c r="R68" s="192" t="s">
        <v>37</v>
      </c>
      <c r="S68" s="166" t="str">
        <f>IF(N68="","",VLOOKUP(N68,'CURSOS 2025'!$A$3:$B$199,2,FALSE))</f>
        <v/>
      </c>
      <c r="T68" s="166"/>
    </row>
    <row r="69" spans="1:20" s="167" customFormat="1" ht="30" customHeight="1" thickBot="1" x14ac:dyDescent="0.35">
      <c r="A69" s="182">
        <v>347</v>
      </c>
      <c r="B69" s="183" t="s">
        <v>38</v>
      </c>
      <c r="C69" s="184">
        <v>206232</v>
      </c>
      <c r="D69" s="185" t="s">
        <v>2241</v>
      </c>
      <c r="E69" s="193" t="s">
        <v>1523</v>
      </c>
      <c r="F69" s="187" t="s">
        <v>2242</v>
      </c>
      <c r="G69" s="188"/>
      <c r="H69" s="189"/>
      <c r="I69" s="188"/>
      <c r="J69" s="188"/>
      <c r="K69" s="189"/>
      <c r="L69" s="188"/>
      <c r="M69" s="162" t="str">
        <f>IF(N69="","",VLOOKUP(N69,'CURSOS 2025'!$A$3:$D$199,3,FALSE))</f>
        <v/>
      </c>
      <c r="N69" s="187"/>
      <c r="O69" s="190"/>
      <c r="P69" s="191"/>
      <c r="Q69" s="162" t="str">
        <f>IF(N69="","",VLOOKUP(N69,'CURSOS 2025'!$A$3:$D$199,4,FALSE))</f>
        <v/>
      </c>
      <c r="R69" s="192" t="s">
        <v>37</v>
      </c>
      <c r="S69" s="166" t="str">
        <f>IF(N69="","",VLOOKUP(N69,'CURSOS 2025'!$A$3:$B$199,2,FALSE))</f>
        <v/>
      </c>
      <c r="T69" s="166"/>
    </row>
    <row r="70" spans="1:20" s="167" customFormat="1" ht="30" customHeight="1" thickBot="1" x14ac:dyDescent="0.35">
      <c r="A70" s="182">
        <v>345</v>
      </c>
      <c r="B70" s="183" t="s">
        <v>34</v>
      </c>
      <c r="C70" s="184">
        <v>205950</v>
      </c>
      <c r="D70" s="185" t="s">
        <v>2243</v>
      </c>
      <c r="E70" s="193" t="s">
        <v>1523</v>
      </c>
      <c r="F70" s="187" t="s">
        <v>2244</v>
      </c>
      <c r="G70" s="188"/>
      <c r="H70" s="189"/>
      <c r="I70" s="188"/>
      <c r="J70" s="188"/>
      <c r="K70" s="189"/>
      <c r="L70" s="188"/>
      <c r="M70" s="162" t="str">
        <f>IF(N70="","",VLOOKUP(N70,'CURSOS 2025'!$A$3:$D$199,3,FALSE))</f>
        <v/>
      </c>
      <c r="N70" s="187"/>
      <c r="O70" s="190"/>
      <c r="P70" s="191"/>
      <c r="Q70" s="162" t="str">
        <f>IF(N70="","",VLOOKUP(N70,'CURSOS 2025'!$A$3:$D$199,4,FALSE))</f>
        <v/>
      </c>
      <c r="R70" s="192" t="s">
        <v>37</v>
      </c>
      <c r="S70" s="166" t="str">
        <f>IF(N70="","",VLOOKUP(N70,'CURSOS 2025'!$A$3:$B$199,2,FALSE))</f>
        <v/>
      </c>
      <c r="T70" s="166"/>
    </row>
    <row r="71" spans="1:20" s="167" customFormat="1" ht="30" customHeight="1" thickBot="1" x14ac:dyDescent="0.35">
      <c r="A71" s="182">
        <v>347</v>
      </c>
      <c r="B71" s="183" t="s">
        <v>45</v>
      </c>
      <c r="C71" s="184">
        <v>6058</v>
      </c>
      <c r="D71" s="185" t="s">
        <v>463</v>
      </c>
      <c r="E71" s="193" t="s">
        <v>2106</v>
      </c>
      <c r="F71" s="187" t="s">
        <v>464</v>
      </c>
      <c r="G71" s="188"/>
      <c r="H71" s="189"/>
      <c r="I71" s="188"/>
      <c r="J71" s="188"/>
      <c r="K71" s="189"/>
      <c r="L71" s="188"/>
      <c r="M71" s="162" t="str">
        <f>IF(N71="","",VLOOKUP(N71,'CURSOS 2025'!$A$3:$D$199,3,FALSE))</f>
        <v/>
      </c>
      <c r="N71" s="187"/>
      <c r="O71" s="190"/>
      <c r="P71" s="191"/>
      <c r="Q71" s="162" t="str">
        <f>IF(N71="","",VLOOKUP(N71,'CURSOS 2025'!$A$3:$D$199,4,FALSE))</f>
        <v/>
      </c>
      <c r="R71" s="192" t="s">
        <v>37</v>
      </c>
      <c r="S71" s="166" t="str">
        <f>IF(N71="","",VLOOKUP(N71,'CURSOS 2025'!$A$3:$B$199,2,FALSE))</f>
        <v/>
      </c>
      <c r="T71" s="166"/>
    </row>
    <row r="72" spans="1:20" s="167" customFormat="1" ht="30" customHeight="1" thickBot="1" x14ac:dyDescent="0.35">
      <c r="A72" s="182">
        <v>347</v>
      </c>
      <c r="B72" s="183" t="s">
        <v>45</v>
      </c>
      <c r="C72" s="184">
        <v>311</v>
      </c>
      <c r="D72" s="185" t="s">
        <v>2245</v>
      </c>
      <c r="E72" s="193" t="s">
        <v>1523</v>
      </c>
      <c r="F72" s="187" t="s">
        <v>2246</v>
      </c>
      <c r="G72" s="188"/>
      <c r="H72" s="189"/>
      <c r="I72" s="188"/>
      <c r="J72" s="188"/>
      <c r="K72" s="189"/>
      <c r="L72" s="188"/>
      <c r="M72" s="162" t="str">
        <f>IF(N72="","",VLOOKUP(N72,'CURSOS 2025'!$A$3:$D$199,3,FALSE))</f>
        <v/>
      </c>
      <c r="N72" s="187"/>
      <c r="O72" s="190"/>
      <c r="P72" s="191"/>
      <c r="Q72" s="162" t="str">
        <f>IF(N72="","",VLOOKUP(N72,'CURSOS 2025'!$A$3:$D$199,4,FALSE))</f>
        <v/>
      </c>
      <c r="R72" s="192" t="s">
        <v>2087</v>
      </c>
      <c r="S72" s="166" t="str">
        <f>IF(N72="","",VLOOKUP(N72,'CURSOS 2025'!$A$3:$B$199,2,FALSE))</f>
        <v/>
      </c>
      <c r="T72" s="166"/>
    </row>
    <row r="73" spans="1:20" s="167" customFormat="1" ht="30" customHeight="1" thickBot="1" x14ac:dyDescent="0.35">
      <c r="A73" s="182">
        <v>347</v>
      </c>
      <c r="B73" s="183" t="s">
        <v>864</v>
      </c>
      <c r="C73" s="184">
        <v>3470</v>
      </c>
      <c r="D73" s="185" t="s">
        <v>2247</v>
      </c>
      <c r="E73" s="193" t="s">
        <v>1523</v>
      </c>
      <c r="F73" s="187" t="s">
        <v>2248</v>
      </c>
      <c r="G73" s="188"/>
      <c r="H73" s="189"/>
      <c r="I73" s="188"/>
      <c r="J73" s="188"/>
      <c r="K73" s="189"/>
      <c r="L73" s="188"/>
      <c r="M73" s="162" t="str">
        <f>IF(N73="","",VLOOKUP(N73,'CURSOS 2025'!$A$3:$D$199,3,FALSE))</f>
        <v/>
      </c>
      <c r="N73" s="187"/>
      <c r="O73" s="190"/>
      <c r="P73" s="191"/>
      <c r="Q73" s="162" t="str">
        <f>IF(N73="","",VLOOKUP(N73,'CURSOS 2025'!$A$3:$D$199,4,FALSE))</f>
        <v/>
      </c>
      <c r="R73" s="192" t="s">
        <v>37</v>
      </c>
      <c r="S73" s="166" t="str">
        <f>IF(N73="","",VLOOKUP(N73,'CURSOS 2025'!$A$3:$B$199,2,FALSE))</f>
        <v/>
      </c>
      <c r="T73" s="166"/>
    </row>
    <row r="74" spans="1:20" s="167" customFormat="1" ht="30" customHeight="1" thickBot="1" x14ac:dyDescent="0.35">
      <c r="A74" s="182">
        <v>329</v>
      </c>
      <c r="B74" s="183" t="s">
        <v>864</v>
      </c>
      <c r="C74" s="184">
        <v>3669</v>
      </c>
      <c r="D74" s="185" t="s">
        <v>1586</v>
      </c>
      <c r="E74" s="193" t="s">
        <v>1523</v>
      </c>
      <c r="F74" s="187" t="s">
        <v>1587</v>
      </c>
      <c r="G74" s="188"/>
      <c r="H74" s="189"/>
      <c r="I74" s="188"/>
      <c r="J74" s="188"/>
      <c r="K74" s="189"/>
      <c r="L74" s="188"/>
      <c r="M74" s="162" t="str">
        <f>IF(N74="","",VLOOKUP(N74,'CURSOS 2025'!$A$3:$D$199,3,FALSE))</f>
        <v/>
      </c>
      <c r="N74" s="187"/>
      <c r="O74" s="190"/>
      <c r="P74" s="191"/>
      <c r="Q74" s="162" t="str">
        <f>IF(N74="","",VLOOKUP(N74,'CURSOS 2025'!$A$3:$D$199,4,FALSE))</f>
        <v/>
      </c>
      <c r="R74" s="192" t="s">
        <v>37</v>
      </c>
      <c r="S74" s="166" t="str">
        <f>IF(N74="","",VLOOKUP(N74,'CURSOS 2025'!$A$3:$B$199,2,FALSE))</f>
        <v/>
      </c>
      <c r="T74" s="166"/>
    </row>
    <row r="75" spans="1:20" s="167" customFormat="1" ht="30" customHeight="1" thickBot="1" x14ac:dyDescent="0.35">
      <c r="A75" s="182">
        <v>346</v>
      </c>
      <c r="B75" s="183" t="s">
        <v>1563</v>
      </c>
      <c r="C75" s="184">
        <v>1567</v>
      </c>
      <c r="D75" s="185" t="s">
        <v>2249</v>
      </c>
      <c r="E75" s="193" t="s">
        <v>1523</v>
      </c>
      <c r="F75" s="187" t="s">
        <v>2250</v>
      </c>
      <c r="G75" s="188"/>
      <c r="H75" s="189"/>
      <c r="I75" s="188"/>
      <c r="J75" s="188"/>
      <c r="K75" s="189"/>
      <c r="L75" s="188"/>
      <c r="M75" s="162" t="str">
        <f>IF(N75="","",VLOOKUP(N75,'CURSOS 2025'!$A$3:$D$199,3,FALSE))</f>
        <v/>
      </c>
      <c r="N75" s="187"/>
      <c r="O75" s="190"/>
      <c r="P75" s="191"/>
      <c r="Q75" s="162" t="str">
        <f>IF(N75="","",VLOOKUP(N75,'CURSOS 2025'!$A$3:$D$199,4,FALSE))</f>
        <v/>
      </c>
      <c r="R75" s="192" t="s">
        <v>37</v>
      </c>
      <c r="S75" s="166" t="str">
        <f>IF(N75="","",VLOOKUP(N75,'CURSOS 2025'!$A$3:$B$199,2,FALSE))</f>
        <v/>
      </c>
      <c r="T75" s="166"/>
    </row>
    <row r="76" spans="1:20" s="167" customFormat="1" ht="30" customHeight="1" thickBot="1" x14ac:dyDescent="0.35">
      <c r="A76" s="182">
        <v>347</v>
      </c>
      <c r="B76" s="183" t="s">
        <v>1563</v>
      </c>
      <c r="C76" s="184">
        <v>1228</v>
      </c>
      <c r="D76" s="185" t="s">
        <v>2251</v>
      </c>
      <c r="E76" s="193" t="s">
        <v>1523</v>
      </c>
      <c r="F76" s="187" t="s">
        <v>2252</v>
      </c>
      <c r="G76" s="188"/>
      <c r="H76" s="189"/>
      <c r="I76" s="188"/>
      <c r="J76" s="188"/>
      <c r="K76" s="189"/>
      <c r="L76" s="188"/>
      <c r="M76" s="162" t="str">
        <f>IF(N76="","",VLOOKUP(N76,'CURSOS 2025'!$A$3:$D$199,3,FALSE))</f>
        <v/>
      </c>
      <c r="N76" s="187"/>
      <c r="O76" s="190"/>
      <c r="P76" s="190"/>
      <c r="Q76" s="162" t="str">
        <f>IF(N76="","",VLOOKUP(N76,'CURSOS 2025'!$A$3:$D$199,4,FALSE))</f>
        <v/>
      </c>
      <c r="R76" s="192" t="s">
        <v>37</v>
      </c>
      <c r="S76" s="166" t="str">
        <f>IF(N76="","",VLOOKUP(N76,'CURSOS 2025'!$A$3:$B$199,2,FALSE))</f>
        <v/>
      </c>
      <c r="T76" s="166"/>
    </row>
    <row r="77" spans="1:20" s="167" customFormat="1" ht="30" customHeight="1" thickBot="1" x14ac:dyDescent="0.35">
      <c r="A77" s="182">
        <v>915</v>
      </c>
      <c r="B77" s="183" t="s">
        <v>42</v>
      </c>
      <c r="C77" s="184">
        <v>205100</v>
      </c>
      <c r="D77" s="185" t="s">
        <v>2253</v>
      </c>
      <c r="E77" s="193" t="s">
        <v>1602</v>
      </c>
      <c r="F77" s="187" t="s">
        <v>2254</v>
      </c>
      <c r="G77" s="188"/>
      <c r="H77" s="189"/>
      <c r="I77" s="188"/>
      <c r="J77" s="188"/>
      <c r="K77" s="189"/>
      <c r="L77" s="188"/>
      <c r="M77" s="162" t="str">
        <f>IF(N77="","",VLOOKUP(N77,'CURSOS 2025'!$A$3:$D$199,3,FALSE))</f>
        <v/>
      </c>
      <c r="N77" s="187"/>
      <c r="O77" s="190"/>
      <c r="P77" s="191"/>
      <c r="Q77" s="162" t="str">
        <f>IF(N77="","",VLOOKUP(N77,'CURSOS 2025'!$A$3:$D$199,4,FALSE))</f>
        <v/>
      </c>
      <c r="R77" s="192" t="s">
        <v>37</v>
      </c>
      <c r="S77" s="166" t="str">
        <f>IF(N77="","",VLOOKUP(N77,'CURSOS 2025'!$A$3:$B$199,2,FALSE))</f>
        <v/>
      </c>
      <c r="T77" s="166"/>
    </row>
    <row r="78" spans="1:20" s="181" customFormat="1" ht="30" customHeight="1" thickBot="1" x14ac:dyDescent="0.35">
      <c r="A78" s="168">
        <v>915</v>
      </c>
      <c r="B78" s="169" t="s">
        <v>1891</v>
      </c>
      <c r="C78" s="170" t="s">
        <v>2255</v>
      </c>
      <c r="D78" s="171" t="s">
        <v>1892</v>
      </c>
      <c r="E78" s="194" t="s">
        <v>1602</v>
      </c>
      <c r="F78" s="173" t="s">
        <v>2256</v>
      </c>
      <c r="G78" s="174"/>
      <c r="H78" s="175"/>
      <c r="I78" s="174"/>
      <c r="J78" s="174"/>
      <c r="K78" s="175"/>
      <c r="L78" s="174"/>
      <c r="M78" s="176" t="str">
        <f>IF(N78="","",VLOOKUP(N78,'CURSOS 2025'!$A$3:$D$199,3,FALSE))</f>
        <v/>
      </c>
      <c r="N78" s="173"/>
      <c r="O78" s="177"/>
      <c r="P78" s="178"/>
      <c r="Q78" s="176" t="str">
        <f>IF(N78="","",VLOOKUP(N78,'CURSOS 2025'!$A$3:$D$199,4,FALSE))</f>
        <v/>
      </c>
      <c r="R78" s="179" t="s">
        <v>2087</v>
      </c>
      <c r="S78" s="180" t="str">
        <f>IF(N78="","",VLOOKUP(N78,'CURSOS 2025'!$A$3:$B$199,2,FALSE))</f>
        <v/>
      </c>
      <c r="T78" s="180"/>
    </row>
    <row r="79" spans="1:20" s="181" customFormat="1" ht="30" customHeight="1" thickBot="1" x14ac:dyDescent="0.35">
      <c r="A79" s="168">
        <v>915</v>
      </c>
      <c r="B79" s="169" t="s">
        <v>1870</v>
      </c>
      <c r="C79" s="170" t="s">
        <v>2257</v>
      </c>
      <c r="D79" s="171" t="s">
        <v>2258</v>
      </c>
      <c r="E79" s="194" t="s">
        <v>1602</v>
      </c>
      <c r="F79" s="173" t="s">
        <v>2259</v>
      </c>
      <c r="G79" s="174"/>
      <c r="H79" s="175"/>
      <c r="I79" s="174"/>
      <c r="J79" s="174"/>
      <c r="K79" s="175"/>
      <c r="L79" s="174"/>
      <c r="M79" s="176" t="str">
        <f>IF(N79="","",VLOOKUP(N79,'CURSOS 2025'!$A$3:$D$199,3,FALSE))</f>
        <v/>
      </c>
      <c r="N79" s="173"/>
      <c r="O79" s="177"/>
      <c r="P79" s="178"/>
      <c r="Q79" s="176" t="str">
        <f>IF(N79="","",VLOOKUP(N79,'CURSOS 2025'!$A$3:$D$199,4,FALSE))</f>
        <v/>
      </c>
      <c r="R79" s="179" t="s">
        <v>37</v>
      </c>
      <c r="S79" s="180" t="str">
        <f>IF(N79="","",VLOOKUP(N79,'CURSOS 2025'!$A$3:$B$199,2,FALSE))</f>
        <v/>
      </c>
      <c r="T79" s="180"/>
    </row>
    <row r="80" spans="1:20" s="167" customFormat="1" ht="30" customHeight="1" thickBot="1" x14ac:dyDescent="0.35">
      <c r="A80" s="182">
        <v>915</v>
      </c>
      <c r="B80" s="183" t="s">
        <v>1493</v>
      </c>
      <c r="C80" s="184">
        <v>206045</v>
      </c>
      <c r="D80" s="185" t="s">
        <v>2260</v>
      </c>
      <c r="E80" s="193" t="s">
        <v>2261</v>
      </c>
      <c r="F80" s="187" t="s">
        <v>2262</v>
      </c>
      <c r="G80" s="188"/>
      <c r="H80" s="189"/>
      <c r="I80" s="188"/>
      <c r="J80" s="188"/>
      <c r="K80" s="189"/>
      <c r="L80" s="188"/>
      <c r="M80" s="162" t="str">
        <f>IF(N80="","",VLOOKUP(N80,'CURSOS 2025'!$A$3:$D$199,3,FALSE))</f>
        <v/>
      </c>
      <c r="N80" s="187"/>
      <c r="O80" s="190"/>
      <c r="P80" s="191"/>
      <c r="Q80" s="162" t="str">
        <f>IF(N80="","",VLOOKUP(N80,'CURSOS 2025'!$A$3:$D$199,4,FALSE))</f>
        <v/>
      </c>
      <c r="R80" s="192" t="s">
        <v>2087</v>
      </c>
      <c r="S80" s="166" t="str">
        <f>IF(N80="","",VLOOKUP(N80,'CURSOS 2025'!$A$3:$B$199,2,FALSE))</f>
        <v/>
      </c>
      <c r="T80" s="166"/>
    </row>
    <row r="81" spans="1:20" s="167" customFormat="1" ht="30" customHeight="1" thickBot="1" x14ac:dyDescent="0.35">
      <c r="A81" s="182">
        <v>915</v>
      </c>
      <c r="B81" s="183" t="s">
        <v>38</v>
      </c>
      <c r="C81" s="184">
        <v>5105</v>
      </c>
      <c r="D81" s="185" t="s">
        <v>1670</v>
      </c>
      <c r="E81" s="193" t="s">
        <v>2263</v>
      </c>
      <c r="F81" s="187" t="s">
        <v>1671</v>
      </c>
      <c r="G81" s="188"/>
      <c r="H81" s="189"/>
      <c r="I81" s="188"/>
      <c r="J81" s="188"/>
      <c r="K81" s="189"/>
      <c r="L81" s="188"/>
      <c r="M81" s="162" t="str">
        <f>IF(N81="","",VLOOKUP(N81,'CURSOS 2025'!$A$3:$D$199,3,FALSE))</f>
        <v/>
      </c>
      <c r="N81" s="187"/>
      <c r="O81" s="190"/>
      <c r="P81" s="191"/>
      <c r="Q81" s="162" t="str">
        <f>IF(N81="","",VLOOKUP(N81,'CURSOS 2025'!$A$3:$D$199,4,FALSE))</f>
        <v/>
      </c>
      <c r="R81" s="192" t="s">
        <v>37</v>
      </c>
      <c r="S81" s="166" t="str">
        <f>IF(N81="","",VLOOKUP(N81,'CURSOS 2025'!$A$3:$B$199,2,FALSE))</f>
        <v/>
      </c>
      <c r="T81" s="166"/>
    </row>
    <row r="82" spans="1:20" s="167" customFormat="1" ht="30" customHeight="1" thickBot="1" x14ac:dyDescent="0.35">
      <c r="A82" s="182">
        <v>915</v>
      </c>
      <c r="B82" s="183" t="s">
        <v>38</v>
      </c>
      <c r="C82" s="184">
        <v>206054</v>
      </c>
      <c r="D82" s="185" t="s">
        <v>2264</v>
      </c>
      <c r="E82" s="193" t="s">
        <v>2263</v>
      </c>
      <c r="F82" s="187" t="s">
        <v>2265</v>
      </c>
      <c r="G82" s="188"/>
      <c r="H82" s="189"/>
      <c r="I82" s="188"/>
      <c r="J82" s="188"/>
      <c r="K82" s="189"/>
      <c r="L82" s="188"/>
      <c r="M82" s="162" t="str">
        <f>IF(N82="","",VLOOKUP(N82,'CURSOS 2025'!$A$3:$D$199,3,FALSE))</f>
        <v/>
      </c>
      <c r="N82" s="187"/>
      <c r="O82" s="190"/>
      <c r="P82" s="191"/>
      <c r="Q82" s="162" t="str">
        <f>IF(N82="","",VLOOKUP(N82,'CURSOS 2025'!$A$3:$D$199,4,FALSE))</f>
        <v/>
      </c>
      <c r="R82" s="192" t="s">
        <v>2087</v>
      </c>
      <c r="S82" s="166" t="str">
        <f>IF(N82="","",VLOOKUP(N82,'CURSOS 2025'!$A$3:$B$199,2,FALSE))</f>
        <v/>
      </c>
      <c r="T82" s="166"/>
    </row>
    <row r="83" spans="1:20" s="167" customFormat="1" ht="30" customHeight="1" thickBot="1" x14ac:dyDescent="0.35">
      <c r="A83" s="182">
        <v>915</v>
      </c>
      <c r="B83" s="183" t="s">
        <v>2266</v>
      </c>
      <c r="C83" s="184">
        <v>205938</v>
      </c>
      <c r="D83" s="185" t="s">
        <v>2267</v>
      </c>
      <c r="E83" s="193" t="s">
        <v>2263</v>
      </c>
      <c r="F83" s="187" t="s">
        <v>2268</v>
      </c>
      <c r="G83" s="188"/>
      <c r="H83" s="189"/>
      <c r="I83" s="188"/>
      <c r="J83" s="188"/>
      <c r="K83" s="189"/>
      <c r="L83" s="188"/>
      <c r="M83" s="162" t="str">
        <f>IF(N83="","",VLOOKUP(N83,'CURSOS 2025'!$A$3:$D$199,3,FALSE))</f>
        <v/>
      </c>
      <c r="N83" s="187"/>
      <c r="O83" s="190"/>
      <c r="P83" s="191"/>
      <c r="Q83" s="162" t="str">
        <f>IF(N83="","",VLOOKUP(N83,'CURSOS 2025'!$A$3:$D$199,4,FALSE))</f>
        <v/>
      </c>
      <c r="R83" s="192" t="s">
        <v>2087</v>
      </c>
      <c r="S83" s="166" t="str">
        <f>IF(N83="","",VLOOKUP(N83,'CURSOS 2025'!$A$3:$B$199,2,FALSE))</f>
        <v/>
      </c>
      <c r="T83" s="166"/>
    </row>
    <row r="84" spans="1:20" s="167" customFormat="1" ht="30" customHeight="1" thickBot="1" x14ac:dyDescent="0.35">
      <c r="A84" s="182">
        <v>915</v>
      </c>
      <c r="B84" s="183" t="s">
        <v>697</v>
      </c>
      <c r="C84" s="184">
        <v>3875</v>
      </c>
      <c r="D84" s="185" t="s">
        <v>2269</v>
      </c>
      <c r="E84" s="193" t="s">
        <v>2263</v>
      </c>
      <c r="F84" s="187" t="s">
        <v>2270</v>
      </c>
      <c r="G84" s="188"/>
      <c r="H84" s="189"/>
      <c r="I84" s="188"/>
      <c r="J84" s="188"/>
      <c r="K84" s="189"/>
      <c r="L84" s="188"/>
      <c r="M84" s="162" t="str">
        <f>IF(N84="","",VLOOKUP(N84,'CURSOS 2025'!$A$3:$D$199,3,FALSE))</f>
        <v/>
      </c>
      <c r="N84" s="187"/>
      <c r="O84" s="190"/>
      <c r="P84" s="191"/>
      <c r="Q84" s="162" t="str">
        <f>IF(N84="","",VLOOKUP(N84,'CURSOS 2025'!$A$3:$D$199,4,FALSE))</f>
        <v/>
      </c>
      <c r="R84" s="192" t="s">
        <v>37</v>
      </c>
      <c r="S84" s="166" t="str">
        <f>IF(N84="","",VLOOKUP(N84,'CURSOS 2025'!$A$3:$B$199,2,FALSE))</f>
        <v/>
      </c>
      <c r="T84" s="166"/>
    </row>
    <row r="85" spans="1:20" s="167" customFormat="1" ht="30" customHeight="1" thickBot="1" x14ac:dyDescent="0.35">
      <c r="A85" s="182">
        <v>915</v>
      </c>
      <c r="B85" s="183" t="s">
        <v>674</v>
      </c>
      <c r="C85" s="184">
        <v>1388</v>
      </c>
      <c r="D85" s="185" t="s">
        <v>2271</v>
      </c>
      <c r="E85" s="193" t="s">
        <v>1602</v>
      </c>
      <c r="F85" s="187" t="s">
        <v>2272</v>
      </c>
      <c r="G85" s="188"/>
      <c r="H85" s="189"/>
      <c r="I85" s="188"/>
      <c r="J85" s="188"/>
      <c r="K85" s="189"/>
      <c r="L85" s="188"/>
      <c r="M85" s="162" t="str">
        <f>IF(N85="","",VLOOKUP(N85,'CURSOS 2025'!$A$3:$D$199,3,FALSE))</f>
        <v/>
      </c>
      <c r="N85" s="187"/>
      <c r="O85" s="190"/>
      <c r="P85" s="191"/>
      <c r="Q85" s="162" t="str">
        <f>IF(N85="","",VLOOKUP(N85,'CURSOS 2025'!$A$3:$D$199,4,FALSE))</f>
        <v/>
      </c>
      <c r="R85" s="192" t="s">
        <v>37</v>
      </c>
      <c r="S85" s="166" t="str">
        <f>IF(N85="","",VLOOKUP(N85,'CURSOS 2025'!$A$3:$B$199,2,FALSE))</f>
        <v/>
      </c>
      <c r="T85" s="166"/>
    </row>
    <row r="86" spans="1:20" s="167" customFormat="1" ht="30" customHeight="1" thickBot="1" x14ac:dyDescent="0.35">
      <c r="A86" s="182">
        <v>248</v>
      </c>
      <c r="B86" s="183" t="s">
        <v>256</v>
      </c>
      <c r="C86" s="184">
        <v>206204</v>
      </c>
      <c r="D86" s="185" t="s">
        <v>2273</v>
      </c>
      <c r="E86" s="193" t="s">
        <v>2274</v>
      </c>
      <c r="F86" s="187" t="s">
        <v>489</v>
      </c>
      <c r="G86" s="188"/>
      <c r="H86" s="189"/>
      <c r="I86" s="188"/>
      <c r="J86" s="188"/>
      <c r="K86" s="189"/>
      <c r="L86" s="188"/>
      <c r="M86" s="162" t="str">
        <f>IF(N86="","",VLOOKUP(N86,'CURSOS 2025'!$A$3:$D$199,3,FALSE))</f>
        <v/>
      </c>
      <c r="N86" s="187"/>
      <c r="O86" s="190"/>
      <c r="P86" s="191"/>
      <c r="Q86" s="162" t="str">
        <f>IF(N86="","",VLOOKUP(N86,'CURSOS 2025'!$A$3:$D$199,4,FALSE))</f>
        <v/>
      </c>
      <c r="R86" s="192" t="s">
        <v>37</v>
      </c>
      <c r="S86" s="166" t="str">
        <f>IF(N86="","",VLOOKUP(N86,'CURSOS 2025'!$A$3:$B$199,2,FALSE))</f>
        <v/>
      </c>
      <c r="T86" s="166"/>
    </row>
    <row r="87" spans="1:20" s="167" customFormat="1" ht="30" customHeight="1" thickBot="1" x14ac:dyDescent="0.35">
      <c r="A87" s="182">
        <v>248</v>
      </c>
      <c r="B87" s="183" t="s">
        <v>256</v>
      </c>
      <c r="C87" s="184">
        <v>206186</v>
      </c>
      <c r="D87" s="185" t="s">
        <v>2275</v>
      </c>
      <c r="E87" s="193" t="s">
        <v>2274</v>
      </c>
      <c r="F87" s="187" t="s">
        <v>2276</v>
      </c>
      <c r="G87" s="188"/>
      <c r="H87" s="189"/>
      <c r="I87" s="188"/>
      <c r="J87" s="188"/>
      <c r="K87" s="189"/>
      <c r="L87" s="188"/>
      <c r="M87" s="162" t="str">
        <f>IF(N87="","",VLOOKUP(N87,'CURSOS 2025'!$A$3:$D$199,3,FALSE))</f>
        <v/>
      </c>
      <c r="N87" s="187"/>
      <c r="O87" s="190"/>
      <c r="P87" s="191"/>
      <c r="Q87" s="162" t="str">
        <f>IF(N87="","",VLOOKUP(N87,'CURSOS 2025'!$A$3:$D$199,4,FALSE))</f>
        <v/>
      </c>
      <c r="R87" s="192" t="s">
        <v>37</v>
      </c>
      <c r="S87" s="166" t="str">
        <f>IF(N87="","",VLOOKUP(N87,'CURSOS 2025'!$A$3:$B$199,2,FALSE))</f>
        <v/>
      </c>
      <c r="T87" s="166"/>
    </row>
    <row r="88" spans="1:20" s="167" customFormat="1" ht="30" customHeight="1" thickBot="1" x14ac:dyDescent="0.35">
      <c r="A88" s="182">
        <v>301</v>
      </c>
      <c r="B88" s="183" t="s">
        <v>2096</v>
      </c>
      <c r="C88" s="184">
        <v>62001</v>
      </c>
      <c r="D88" s="185" t="s">
        <v>2277</v>
      </c>
      <c r="E88" s="193" t="s">
        <v>2278</v>
      </c>
      <c r="F88" s="187" t="s">
        <v>2279</v>
      </c>
      <c r="G88" s="188"/>
      <c r="H88" s="189"/>
      <c r="I88" s="188"/>
      <c r="J88" s="188"/>
      <c r="K88" s="189"/>
      <c r="L88" s="188"/>
      <c r="M88" s="162" t="str">
        <f>IF(N88="","",VLOOKUP(N88,'CURSOS 2025'!$A$3:$D$199,3,FALSE))</f>
        <v/>
      </c>
      <c r="N88" s="187"/>
      <c r="O88" s="190"/>
      <c r="P88" s="191"/>
      <c r="Q88" s="162" t="str">
        <f>IF(N88="","",VLOOKUP(N88,'CURSOS 2025'!$A$3:$D$199,4,FALSE))</f>
        <v/>
      </c>
      <c r="R88" s="192" t="s">
        <v>37</v>
      </c>
      <c r="S88" s="166" t="str">
        <f>IF(N88="","",VLOOKUP(N88,'CURSOS 2025'!$A$3:$B$199,2,FALSE))</f>
        <v/>
      </c>
      <c r="T88" s="166"/>
    </row>
    <row r="89" spans="1:20" s="167" customFormat="1" ht="30" customHeight="1" thickBot="1" x14ac:dyDescent="0.35">
      <c r="A89" s="182">
        <v>301</v>
      </c>
      <c r="B89" s="183" t="s">
        <v>2280</v>
      </c>
      <c r="C89" s="184">
        <v>62002</v>
      </c>
      <c r="D89" s="185" t="s">
        <v>2281</v>
      </c>
      <c r="E89" s="193" t="s">
        <v>2278</v>
      </c>
      <c r="F89" s="187" t="s">
        <v>2282</v>
      </c>
      <c r="G89" s="188"/>
      <c r="H89" s="189"/>
      <c r="I89" s="188"/>
      <c r="J89" s="188"/>
      <c r="K89" s="189"/>
      <c r="L89" s="188"/>
      <c r="M89" s="162" t="str">
        <f>IF(N89="","",VLOOKUP(N89,'CURSOS 2025'!$A$3:$D$199,3,FALSE))</f>
        <v/>
      </c>
      <c r="N89" s="187"/>
      <c r="O89" s="190"/>
      <c r="P89" s="191"/>
      <c r="Q89" s="162" t="str">
        <f>IF(N89="","",VLOOKUP(N89,'CURSOS 2025'!$A$3:$D$199,4,FALSE))</f>
        <v/>
      </c>
      <c r="R89" s="192" t="s">
        <v>2087</v>
      </c>
      <c r="S89" s="166" t="str">
        <f>IF(N89="","",VLOOKUP(N89,'CURSOS 2025'!$A$3:$B$199,2,FALSE))</f>
        <v/>
      </c>
      <c r="T89" s="166"/>
    </row>
    <row r="90" spans="1:20" s="167" customFormat="1" ht="30" customHeight="1" thickBot="1" x14ac:dyDescent="0.35">
      <c r="A90" s="182">
        <v>301</v>
      </c>
      <c r="B90" s="183" t="s">
        <v>2228</v>
      </c>
      <c r="C90" s="184">
        <v>62007</v>
      </c>
      <c r="D90" s="185" t="s">
        <v>2283</v>
      </c>
      <c r="E90" s="193" t="s">
        <v>2278</v>
      </c>
      <c r="F90" s="187" t="s">
        <v>2284</v>
      </c>
      <c r="G90" s="188"/>
      <c r="H90" s="189"/>
      <c r="I90" s="188"/>
      <c r="J90" s="188"/>
      <c r="K90" s="189"/>
      <c r="L90" s="188"/>
      <c r="M90" s="162" t="str">
        <f>IF(N90="","",VLOOKUP(N90,'CURSOS 2025'!$A$3:$D$199,3,FALSE))</f>
        <v/>
      </c>
      <c r="N90" s="187"/>
      <c r="O90" s="190"/>
      <c r="P90" s="191"/>
      <c r="Q90" s="162" t="str">
        <f>IF(N90="","",VLOOKUP(N90,'CURSOS 2025'!$A$3:$D$199,4,FALSE))</f>
        <v/>
      </c>
      <c r="R90" s="192" t="s">
        <v>37</v>
      </c>
      <c r="S90" s="166" t="str">
        <f>IF(N90="","",VLOOKUP(N90,'CURSOS 2025'!$A$3:$B$199,2,FALSE))</f>
        <v/>
      </c>
      <c r="T90" s="166"/>
    </row>
    <row r="91" spans="1:20" s="167" customFormat="1" ht="30" customHeight="1" thickBot="1" x14ac:dyDescent="0.35">
      <c r="A91" s="182">
        <v>301</v>
      </c>
      <c r="B91" s="183" t="s">
        <v>2228</v>
      </c>
      <c r="C91" s="184">
        <v>640004</v>
      </c>
      <c r="D91" s="185" t="s">
        <v>2285</v>
      </c>
      <c r="E91" s="193" t="s">
        <v>2278</v>
      </c>
      <c r="F91" s="187" t="s">
        <v>2286</v>
      </c>
      <c r="G91" s="188"/>
      <c r="H91" s="189"/>
      <c r="I91" s="188"/>
      <c r="J91" s="188"/>
      <c r="K91" s="189"/>
      <c r="L91" s="188"/>
      <c r="M91" s="162" t="str">
        <f>IF(N91="","",VLOOKUP(N91,'CURSOS 2025'!$A$3:$D$199,3,FALSE))</f>
        <v/>
      </c>
      <c r="N91" s="187"/>
      <c r="O91" s="190"/>
      <c r="P91" s="191"/>
      <c r="Q91" s="162" t="str">
        <f>IF(N91="","",VLOOKUP(N91,'CURSOS 2025'!$A$3:$D$199,4,FALSE))</f>
        <v/>
      </c>
      <c r="R91" s="192" t="s">
        <v>37</v>
      </c>
      <c r="S91" s="166" t="str">
        <f>IF(N91="","",VLOOKUP(N91,'CURSOS 2025'!$A$3:$B$199,2,FALSE))</f>
        <v/>
      </c>
      <c r="T91" s="166"/>
    </row>
    <row r="92" spans="1:20" s="167" customFormat="1" ht="30" customHeight="1" thickBot="1" x14ac:dyDescent="0.35">
      <c r="A92" s="182">
        <v>301</v>
      </c>
      <c r="B92" s="183" t="s">
        <v>1870</v>
      </c>
      <c r="C92" s="184">
        <v>62009</v>
      </c>
      <c r="D92" s="185" t="s">
        <v>2287</v>
      </c>
      <c r="E92" s="193" t="s">
        <v>2278</v>
      </c>
      <c r="F92" s="187" t="s">
        <v>2288</v>
      </c>
      <c r="G92" s="188"/>
      <c r="H92" s="189"/>
      <c r="I92" s="188"/>
      <c r="J92" s="188"/>
      <c r="K92" s="189"/>
      <c r="L92" s="188"/>
      <c r="M92" s="162" t="str">
        <f>IF(N92="","",VLOOKUP(N92,'CURSOS 2025'!$A$3:$D$199,3,FALSE))</f>
        <v/>
      </c>
      <c r="N92" s="187"/>
      <c r="O92" s="190"/>
      <c r="P92" s="191"/>
      <c r="Q92" s="162" t="str">
        <f>IF(N92="","",VLOOKUP(N92,'CURSOS 2025'!$A$3:$D$199,4,FALSE))</f>
        <v/>
      </c>
      <c r="R92" s="192" t="s">
        <v>37</v>
      </c>
      <c r="S92" s="166" t="str">
        <f>IF(N92="","",VLOOKUP(N92,'CURSOS 2025'!$A$3:$B$199,2,FALSE))</f>
        <v/>
      </c>
      <c r="T92" s="166"/>
    </row>
    <row r="93" spans="1:20" s="167" customFormat="1" ht="30" customHeight="1" thickBot="1" x14ac:dyDescent="0.35">
      <c r="A93" s="182">
        <v>301</v>
      </c>
      <c r="B93" s="183" t="s">
        <v>1870</v>
      </c>
      <c r="C93" s="184">
        <v>62013</v>
      </c>
      <c r="D93" s="185" t="s">
        <v>2289</v>
      </c>
      <c r="E93" s="193" t="s">
        <v>2278</v>
      </c>
      <c r="F93" s="187" t="s">
        <v>2290</v>
      </c>
      <c r="G93" s="188"/>
      <c r="H93" s="189"/>
      <c r="I93" s="188"/>
      <c r="J93" s="188"/>
      <c r="K93" s="189"/>
      <c r="L93" s="188"/>
      <c r="M93" s="162" t="str">
        <f>IF(N93="","",VLOOKUP(N93,'CURSOS 2025'!$A$3:$D$199,3,FALSE))</f>
        <v/>
      </c>
      <c r="N93" s="187"/>
      <c r="O93" s="190"/>
      <c r="P93" s="191"/>
      <c r="Q93" s="162" t="str">
        <f>IF(N93="","",VLOOKUP(N93,'CURSOS 2025'!$A$3:$D$199,4,FALSE))</f>
        <v/>
      </c>
      <c r="R93" s="192" t="s">
        <v>37</v>
      </c>
      <c r="S93" s="166" t="str">
        <f>IF(N93="","",VLOOKUP(N93,'CURSOS 2025'!$A$3:$B$199,2,FALSE))</f>
        <v/>
      </c>
      <c r="T93" s="166"/>
    </row>
    <row r="94" spans="1:20" s="167" customFormat="1" ht="30" customHeight="1" thickBot="1" x14ac:dyDescent="0.35">
      <c r="A94" s="182">
        <v>301</v>
      </c>
      <c r="B94" s="183" t="s">
        <v>1870</v>
      </c>
      <c r="C94" s="184">
        <v>640005</v>
      </c>
      <c r="D94" s="185" t="s">
        <v>2291</v>
      </c>
      <c r="E94" s="193" t="s">
        <v>2278</v>
      </c>
      <c r="F94" s="187" t="s">
        <v>2292</v>
      </c>
      <c r="G94" s="188"/>
      <c r="H94" s="189"/>
      <c r="I94" s="188"/>
      <c r="J94" s="188"/>
      <c r="K94" s="189"/>
      <c r="L94" s="197"/>
      <c r="M94" s="162" t="str">
        <f>IF(N94="","",VLOOKUP(N94,'CURSOS 2025'!$A$3:$D$199,3,FALSE))</f>
        <v/>
      </c>
      <c r="N94" s="187"/>
      <c r="O94" s="195"/>
      <c r="P94" s="198"/>
      <c r="Q94" s="162" t="str">
        <f>IF(N94="","",VLOOKUP(N94,'CURSOS 2025'!$A$3:$D$199,4,FALSE))</f>
        <v/>
      </c>
      <c r="R94" s="192" t="s">
        <v>2087</v>
      </c>
      <c r="S94" s="166" t="str">
        <f>IF(N94="","",VLOOKUP(N94,'CURSOS 2025'!$A$3:$B$199,2,FALSE))</f>
        <v/>
      </c>
      <c r="T94" s="166"/>
    </row>
    <row r="95" spans="1:20" s="167" customFormat="1" ht="30" customHeight="1" thickBot="1" x14ac:dyDescent="0.35">
      <c r="A95" s="199">
        <v>301</v>
      </c>
      <c r="B95" s="200" t="s">
        <v>1870</v>
      </c>
      <c r="C95" s="201">
        <v>62012</v>
      </c>
      <c r="D95" s="202" t="s">
        <v>2293</v>
      </c>
      <c r="E95" s="203" t="s">
        <v>2278</v>
      </c>
      <c r="F95" s="204" t="s">
        <v>2294</v>
      </c>
      <c r="G95" s="205"/>
      <c r="H95" s="205"/>
      <c r="I95" s="205"/>
      <c r="J95" s="205"/>
      <c r="K95" s="206"/>
      <c r="L95" s="206"/>
      <c r="M95" s="207" t="str">
        <f>IF(N95="","",VLOOKUP(N95,'CURSOS 2025'!$A$3:$D$199,3,FALSE))</f>
        <v/>
      </c>
      <c r="N95" s="208"/>
      <c r="O95" s="209"/>
      <c r="P95" s="210"/>
      <c r="Q95" s="162" t="str">
        <f>IF(N95="","",VLOOKUP(N95,'CURSOS 2025'!$A$3:$D$199,4,FALSE))</f>
        <v/>
      </c>
      <c r="R95" s="211" t="s">
        <v>37</v>
      </c>
      <c r="S95" s="166" t="str">
        <f>IF(N95="","",VLOOKUP(N95,'CURSOS 2025'!$A$3:$B$199,2,FALSE))</f>
        <v/>
      </c>
      <c r="T95" s="166"/>
    </row>
  </sheetData>
  <conditionalFormatting sqref="S1:T95">
    <cfRule type="containsText" dxfId="1" priority="1" operator="containsText" text="C/COSTO">
      <formula>NOT(ISERROR(SEARCH("C/COSTO",S1)))</formula>
    </cfRule>
    <cfRule type="containsText" dxfId="0" priority="2" operator="containsText" text="#N/A">
      <formula>NOT(ISERROR(SEARCH("#N/A",S1)))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'CURSOS 2025'!$A$3:$A$19</xm:f>
          </x14:formula1>
          <xm:sqref>N1:N95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NOMINAS_ACTIVAS</vt:lpstr>
      <vt:lpstr> PLAN Y PROGRAMA ANUAL 2026</vt:lpstr>
      <vt:lpstr>CURSOS 2026</vt:lpstr>
      <vt:lpstr>CURSOS 2025</vt:lpstr>
      <vt:lpstr>Activos 2023</vt:lpstr>
      <vt:lpstr>Cursos 2023</vt:lpstr>
      <vt:lpstr>BAJA 2024 (TRABAJADORES)</vt:lpstr>
      <vt:lpstr>' PLAN Y PROGRAMA ANUAL 2026'!Área_de_impresión</vt:lpstr>
      <vt:lpstr>' PLAN Y PROGRAMA ANUAL 2026'!Títulos_a_imprimir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LICONSA</dc:creator>
  <cp:lastModifiedBy>LICONSA</cp:lastModifiedBy>
  <dcterms:created xsi:type="dcterms:W3CDTF">2026-03-02T18:15:10Z</dcterms:created>
  <dcterms:modified xsi:type="dcterms:W3CDTF">2026-05-28T15:45:03Z</dcterms:modified>
</cp:coreProperties>
</file>